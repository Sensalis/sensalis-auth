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heinz\Documents\R_Dokumente\TC_Revitalization\Sources\"/>
    </mc:Choice>
  </mc:AlternateContent>
  <xr:revisionPtr revIDLastSave="0" documentId="13_ncr:1_{665F2C2A-53AF-4DFA-AB47-36BF690854B6}" xr6:coauthVersionLast="47" xr6:coauthVersionMax="47" xr10:uidLastSave="{00000000-0000-0000-0000-000000000000}"/>
  <bookViews>
    <workbookView xWindow="-30" yWindow="-16320" windowWidth="29040" windowHeight="15720" activeTab="1" xr2:uid="{38E0D36C-FD95-494A-85B8-DED61D5351A3}"/>
  </bookViews>
  <sheets>
    <sheet name="CFs" sheetId="2" r:id="rId1"/>
    <sheet name="Inpu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5" i="3" l="1"/>
  <c r="D163" i="3"/>
  <c r="C163" i="3"/>
  <c r="E130" i="3"/>
  <c r="P27" i="2" s="1"/>
  <c r="D126" i="3"/>
  <c r="O15" i="2" s="1"/>
  <c r="C56" i="3"/>
  <c r="C10" i="3"/>
  <c r="D148" i="3" s="1"/>
  <c r="X15" i="2" s="1"/>
  <c r="C29" i="3"/>
  <c r="C42" i="3" s="1"/>
  <c r="L36" i="3"/>
  <c r="K36" i="3"/>
  <c r="J36" i="3"/>
  <c r="J39" i="3" s="1"/>
  <c r="I36" i="3"/>
  <c r="H36" i="3"/>
  <c r="H39" i="3" s="1"/>
  <c r="G36" i="3"/>
  <c r="F36" i="3"/>
  <c r="F39" i="3" s="1"/>
  <c r="E36" i="3"/>
  <c r="D36" i="3"/>
  <c r="C36" i="3"/>
  <c r="C39" i="3" s="1"/>
  <c r="I29" i="3"/>
  <c r="I42" i="3" s="1"/>
  <c r="D29" i="3"/>
  <c r="D42" i="3" s="1"/>
  <c r="E29" i="3"/>
  <c r="E42" i="3" s="1"/>
  <c r="F29" i="3"/>
  <c r="F42" i="3" s="1"/>
  <c r="G29" i="3"/>
  <c r="G42" i="3" s="1"/>
  <c r="H29" i="3"/>
  <c r="H42" i="3" s="1"/>
  <c r="J29" i="3"/>
  <c r="J42" i="3" s="1"/>
  <c r="K29" i="3"/>
  <c r="K42" i="3" s="1"/>
  <c r="L29" i="3"/>
  <c r="L42" i="3" s="1"/>
  <c r="B41" i="3"/>
  <c r="C63" i="3"/>
  <c r="D57" i="3"/>
  <c r="E57" i="3" s="1"/>
  <c r="F57" i="3" s="1"/>
  <c r="G57" i="3" s="1"/>
  <c r="H57" i="3" s="1"/>
  <c r="I57" i="3" s="1"/>
  <c r="J57" i="3" s="1"/>
  <c r="K57" i="3" s="1"/>
  <c r="L57" i="3" s="1"/>
  <c r="D58" i="3"/>
  <c r="E58" i="3" s="1"/>
  <c r="F58" i="3" s="1"/>
  <c r="G58" i="3" s="1"/>
  <c r="H58" i="3" s="1"/>
  <c r="I58" i="3" s="1"/>
  <c r="J58" i="3" s="1"/>
  <c r="K58" i="3" s="1"/>
  <c r="L58" i="3" s="1"/>
  <c r="D59" i="3"/>
  <c r="E59" i="3" s="1"/>
  <c r="F59" i="3" s="1"/>
  <c r="G59" i="3" s="1"/>
  <c r="H59" i="3" s="1"/>
  <c r="I59" i="3" s="1"/>
  <c r="J59" i="3" s="1"/>
  <c r="K59" i="3" s="1"/>
  <c r="L59" i="3" s="1"/>
  <c r="D60" i="3"/>
  <c r="E60" i="3" s="1"/>
  <c r="F60" i="3" s="1"/>
  <c r="G60" i="3" s="1"/>
  <c r="H60" i="3" s="1"/>
  <c r="I60" i="3" s="1"/>
  <c r="J60" i="3" s="1"/>
  <c r="K60" i="3" s="1"/>
  <c r="L60" i="3" s="1"/>
  <c r="D61" i="3"/>
  <c r="E61" i="3" s="1"/>
  <c r="F61" i="3" s="1"/>
  <c r="G61" i="3" s="1"/>
  <c r="H61" i="3" s="1"/>
  <c r="I61" i="3" s="1"/>
  <c r="J61" i="3" s="1"/>
  <c r="K61" i="3" s="1"/>
  <c r="L61" i="3" s="1"/>
  <c r="D62" i="3"/>
  <c r="E62" i="3" s="1"/>
  <c r="F62" i="3" s="1"/>
  <c r="G62" i="3" s="1"/>
  <c r="H62" i="3" s="1"/>
  <c r="I62" i="3" s="1"/>
  <c r="J62" i="3" s="1"/>
  <c r="K62" i="3" s="1"/>
  <c r="L62" i="3" s="1"/>
  <c r="A38" i="3"/>
  <c r="AC2" i="2"/>
  <c r="Y2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R4" i="2"/>
  <c r="S4" i="2"/>
  <c r="T4" i="2"/>
  <c r="U4" i="2"/>
  <c r="V4" i="2"/>
  <c r="W4" i="2"/>
  <c r="X4" i="2"/>
  <c r="AA4" i="2"/>
  <c r="AB4" i="2"/>
  <c r="R5" i="2"/>
  <c r="S5" i="2"/>
  <c r="T5" i="2"/>
  <c r="U5" i="2"/>
  <c r="V5" i="2"/>
  <c r="W5" i="2"/>
  <c r="X5" i="2"/>
  <c r="AA5" i="2"/>
  <c r="AB5" i="2"/>
  <c r="R6" i="2"/>
  <c r="S6" i="2"/>
  <c r="T6" i="2"/>
  <c r="U6" i="2"/>
  <c r="V6" i="2"/>
  <c r="W6" i="2"/>
  <c r="X6" i="2"/>
  <c r="AA6" i="2"/>
  <c r="AB6" i="2"/>
  <c r="R7" i="2"/>
  <c r="S7" i="2"/>
  <c r="T7" i="2"/>
  <c r="U7" i="2"/>
  <c r="V7" i="2"/>
  <c r="W7" i="2"/>
  <c r="X7" i="2"/>
  <c r="AA7" i="2"/>
  <c r="AB7" i="2"/>
  <c r="R8" i="2"/>
  <c r="S8" i="2"/>
  <c r="T8" i="2"/>
  <c r="U8" i="2"/>
  <c r="V8" i="2"/>
  <c r="W8" i="2"/>
  <c r="X8" i="2"/>
  <c r="AA8" i="2"/>
  <c r="AB8" i="2"/>
  <c r="R9" i="2"/>
  <c r="S9" i="2"/>
  <c r="T9" i="2"/>
  <c r="U9" i="2"/>
  <c r="V9" i="2"/>
  <c r="W9" i="2"/>
  <c r="X9" i="2"/>
  <c r="AA9" i="2"/>
  <c r="AB9" i="2"/>
  <c r="R10" i="2"/>
  <c r="S10" i="2"/>
  <c r="T10" i="2"/>
  <c r="U10" i="2"/>
  <c r="V10" i="2"/>
  <c r="W10" i="2"/>
  <c r="X10" i="2"/>
  <c r="AA10" i="2"/>
  <c r="AB10" i="2"/>
  <c r="R11" i="2"/>
  <c r="S11" i="2"/>
  <c r="T11" i="2"/>
  <c r="U11" i="2"/>
  <c r="V11" i="2"/>
  <c r="W11" i="2"/>
  <c r="X11" i="2"/>
  <c r="AA11" i="2"/>
  <c r="AB11" i="2"/>
  <c r="R12" i="2"/>
  <c r="S12" i="2"/>
  <c r="T12" i="2"/>
  <c r="U12" i="2"/>
  <c r="V12" i="2"/>
  <c r="W12" i="2"/>
  <c r="X12" i="2"/>
  <c r="AA12" i="2"/>
  <c r="AB12" i="2"/>
  <c r="R13" i="2"/>
  <c r="S13" i="2"/>
  <c r="T13" i="2"/>
  <c r="U13" i="2"/>
  <c r="V13" i="2"/>
  <c r="W13" i="2"/>
  <c r="X13" i="2"/>
  <c r="AA13" i="2"/>
  <c r="AB13" i="2"/>
  <c r="R14" i="2"/>
  <c r="S14" i="2"/>
  <c r="T14" i="2"/>
  <c r="U14" i="2"/>
  <c r="V14" i="2"/>
  <c r="W14" i="2"/>
  <c r="X14" i="2"/>
  <c r="AA14" i="2"/>
  <c r="AB14" i="2"/>
  <c r="AA15" i="2"/>
  <c r="AB15" i="2"/>
  <c r="R16" i="2"/>
  <c r="S16" i="2"/>
  <c r="T16" i="2"/>
  <c r="U16" i="2"/>
  <c r="V16" i="2"/>
  <c r="W16" i="2"/>
  <c r="X16" i="2"/>
  <c r="AA16" i="2"/>
  <c r="AB16" i="2"/>
  <c r="R17" i="2"/>
  <c r="S17" i="2"/>
  <c r="T17" i="2"/>
  <c r="U17" i="2"/>
  <c r="V17" i="2"/>
  <c r="W17" i="2"/>
  <c r="X17" i="2"/>
  <c r="AA17" i="2"/>
  <c r="AB17" i="2"/>
  <c r="R18" i="2"/>
  <c r="S18" i="2"/>
  <c r="T18" i="2"/>
  <c r="U18" i="2"/>
  <c r="V18" i="2"/>
  <c r="W18" i="2"/>
  <c r="X18" i="2"/>
  <c r="AA18" i="2"/>
  <c r="AB18" i="2"/>
  <c r="R19" i="2"/>
  <c r="S19" i="2"/>
  <c r="T19" i="2"/>
  <c r="U19" i="2"/>
  <c r="V19" i="2"/>
  <c r="W19" i="2"/>
  <c r="X19" i="2"/>
  <c r="AA19" i="2"/>
  <c r="AB19" i="2"/>
  <c r="R20" i="2"/>
  <c r="S20" i="2"/>
  <c r="T20" i="2"/>
  <c r="U20" i="2"/>
  <c r="V20" i="2"/>
  <c r="W20" i="2"/>
  <c r="X20" i="2"/>
  <c r="AA20" i="2"/>
  <c r="AB20" i="2"/>
  <c r="R21" i="2"/>
  <c r="S21" i="2"/>
  <c r="T21" i="2"/>
  <c r="U21" i="2"/>
  <c r="V21" i="2"/>
  <c r="W21" i="2"/>
  <c r="X21" i="2"/>
  <c r="AA21" i="2"/>
  <c r="AB21" i="2"/>
  <c r="R22" i="2"/>
  <c r="S22" i="2"/>
  <c r="T22" i="2"/>
  <c r="U22" i="2"/>
  <c r="V22" i="2"/>
  <c r="W22" i="2"/>
  <c r="X22" i="2"/>
  <c r="AA22" i="2"/>
  <c r="AB22" i="2"/>
  <c r="R23" i="2"/>
  <c r="S23" i="2"/>
  <c r="T23" i="2"/>
  <c r="U23" i="2"/>
  <c r="V23" i="2"/>
  <c r="W23" i="2"/>
  <c r="X23" i="2"/>
  <c r="AA23" i="2"/>
  <c r="AB23" i="2"/>
  <c r="R24" i="2"/>
  <c r="S24" i="2"/>
  <c r="T24" i="2"/>
  <c r="U24" i="2"/>
  <c r="V24" i="2"/>
  <c r="W24" i="2"/>
  <c r="X24" i="2"/>
  <c r="AA24" i="2"/>
  <c r="AB24" i="2"/>
  <c r="R25" i="2"/>
  <c r="S25" i="2"/>
  <c r="T25" i="2"/>
  <c r="U25" i="2"/>
  <c r="V25" i="2"/>
  <c r="W25" i="2"/>
  <c r="X25" i="2"/>
  <c r="AA25" i="2"/>
  <c r="AB25" i="2"/>
  <c r="R26" i="2"/>
  <c r="S26" i="2"/>
  <c r="T26" i="2"/>
  <c r="U26" i="2"/>
  <c r="V26" i="2"/>
  <c r="W26" i="2"/>
  <c r="X26" i="2"/>
  <c r="AA26" i="2"/>
  <c r="AB26" i="2"/>
  <c r="R27" i="2"/>
  <c r="S27" i="2"/>
  <c r="T27" i="2"/>
  <c r="U27" i="2"/>
  <c r="V27" i="2"/>
  <c r="W27" i="2"/>
  <c r="X27" i="2"/>
  <c r="AA27" i="2"/>
  <c r="AB27" i="2"/>
  <c r="R28" i="2"/>
  <c r="S28" i="2"/>
  <c r="T28" i="2"/>
  <c r="U28" i="2"/>
  <c r="V28" i="2"/>
  <c r="W28" i="2"/>
  <c r="X28" i="2"/>
  <c r="AA28" i="2"/>
  <c r="AB28" i="2"/>
  <c r="R29" i="2"/>
  <c r="S29" i="2"/>
  <c r="T29" i="2"/>
  <c r="U29" i="2"/>
  <c r="V29" i="2"/>
  <c r="W29" i="2"/>
  <c r="X29" i="2"/>
  <c r="AA29" i="2"/>
  <c r="AB29" i="2"/>
  <c r="R30" i="2"/>
  <c r="S30" i="2"/>
  <c r="T30" i="2"/>
  <c r="U30" i="2"/>
  <c r="V30" i="2"/>
  <c r="W30" i="2"/>
  <c r="X30" i="2"/>
  <c r="AA30" i="2"/>
  <c r="AB30" i="2"/>
  <c r="R31" i="2"/>
  <c r="S31" i="2"/>
  <c r="T31" i="2"/>
  <c r="U31" i="2"/>
  <c r="V31" i="2"/>
  <c r="W31" i="2"/>
  <c r="X31" i="2"/>
  <c r="AA31" i="2"/>
  <c r="AB31" i="2"/>
  <c r="R32" i="2"/>
  <c r="S32" i="2"/>
  <c r="T32" i="2"/>
  <c r="U32" i="2"/>
  <c r="V32" i="2"/>
  <c r="W32" i="2"/>
  <c r="X32" i="2"/>
  <c r="AA32" i="2"/>
  <c r="AB32" i="2"/>
  <c r="R33" i="2"/>
  <c r="S33" i="2"/>
  <c r="T33" i="2"/>
  <c r="U33" i="2"/>
  <c r="V33" i="2"/>
  <c r="W33" i="2"/>
  <c r="X33" i="2"/>
  <c r="AA33" i="2"/>
  <c r="AB33" i="2"/>
  <c r="R34" i="2"/>
  <c r="S34" i="2"/>
  <c r="T34" i="2"/>
  <c r="U34" i="2"/>
  <c r="V34" i="2"/>
  <c r="W34" i="2"/>
  <c r="X34" i="2"/>
  <c r="AA34" i="2"/>
  <c r="AB34" i="2"/>
  <c r="R35" i="2"/>
  <c r="S35" i="2"/>
  <c r="T35" i="2"/>
  <c r="U35" i="2"/>
  <c r="V35" i="2"/>
  <c r="W35" i="2"/>
  <c r="X35" i="2"/>
  <c r="AA35" i="2"/>
  <c r="AB35" i="2"/>
  <c r="R36" i="2"/>
  <c r="S36" i="2"/>
  <c r="T36" i="2"/>
  <c r="U36" i="2"/>
  <c r="V36" i="2"/>
  <c r="W36" i="2"/>
  <c r="X36" i="2"/>
  <c r="AA36" i="2"/>
  <c r="AB36" i="2"/>
  <c r="R37" i="2"/>
  <c r="S37" i="2"/>
  <c r="T37" i="2"/>
  <c r="U37" i="2"/>
  <c r="V37" i="2"/>
  <c r="W37" i="2"/>
  <c r="X37" i="2"/>
  <c r="AA37" i="2"/>
  <c r="AB37" i="2"/>
  <c r="R38" i="2"/>
  <c r="S38" i="2"/>
  <c r="T38" i="2"/>
  <c r="U38" i="2"/>
  <c r="V38" i="2"/>
  <c r="W38" i="2"/>
  <c r="X38" i="2"/>
  <c r="AA38" i="2"/>
  <c r="AB38" i="2"/>
  <c r="R39" i="2"/>
  <c r="S39" i="2"/>
  <c r="T39" i="2"/>
  <c r="U39" i="2"/>
  <c r="V39" i="2"/>
  <c r="W39" i="2"/>
  <c r="X39" i="2"/>
  <c r="AA39" i="2"/>
  <c r="AB39" i="2"/>
  <c r="R40" i="2"/>
  <c r="S40" i="2"/>
  <c r="T40" i="2"/>
  <c r="U40" i="2"/>
  <c r="V40" i="2"/>
  <c r="W40" i="2"/>
  <c r="X40" i="2"/>
  <c r="AA40" i="2"/>
  <c r="AB40" i="2"/>
  <c r="R41" i="2"/>
  <c r="S41" i="2"/>
  <c r="T41" i="2"/>
  <c r="U41" i="2"/>
  <c r="V41" i="2"/>
  <c r="W41" i="2"/>
  <c r="X41" i="2"/>
  <c r="AA41" i="2"/>
  <c r="AB41" i="2"/>
  <c r="R42" i="2"/>
  <c r="S42" i="2"/>
  <c r="T42" i="2"/>
  <c r="U42" i="2"/>
  <c r="V42" i="2"/>
  <c r="W42" i="2"/>
  <c r="X42" i="2"/>
  <c r="AA42" i="2"/>
  <c r="AB42" i="2"/>
  <c r="R43" i="2"/>
  <c r="S43" i="2"/>
  <c r="T43" i="2"/>
  <c r="U43" i="2"/>
  <c r="V43" i="2"/>
  <c r="W43" i="2"/>
  <c r="X43" i="2"/>
  <c r="AA43" i="2"/>
  <c r="AB43" i="2"/>
  <c r="R44" i="2"/>
  <c r="S44" i="2"/>
  <c r="T44" i="2"/>
  <c r="U44" i="2"/>
  <c r="V44" i="2"/>
  <c r="W44" i="2"/>
  <c r="X44" i="2"/>
  <c r="AA44" i="2"/>
  <c r="AB44" i="2"/>
  <c r="R45" i="2"/>
  <c r="S45" i="2"/>
  <c r="T45" i="2"/>
  <c r="U45" i="2"/>
  <c r="V45" i="2"/>
  <c r="W45" i="2"/>
  <c r="X45" i="2"/>
  <c r="AA45" i="2"/>
  <c r="AB45" i="2"/>
  <c r="R46" i="2"/>
  <c r="S46" i="2"/>
  <c r="T46" i="2"/>
  <c r="U46" i="2"/>
  <c r="V46" i="2"/>
  <c r="W46" i="2"/>
  <c r="X46" i="2"/>
  <c r="AA46" i="2"/>
  <c r="AB46" i="2"/>
  <c r="R47" i="2"/>
  <c r="S47" i="2"/>
  <c r="T47" i="2"/>
  <c r="U47" i="2"/>
  <c r="V47" i="2"/>
  <c r="W47" i="2"/>
  <c r="X47" i="2"/>
  <c r="AA47" i="2"/>
  <c r="AB47" i="2"/>
  <c r="R48" i="2"/>
  <c r="S48" i="2"/>
  <c r="T48" i="2"/>
  <c r="U48" i="2"/>
  <c r="V48" i="2"/>
  <c r="W48" i="2"/>
  <c r="X48" i="2"/>
  <c r="AA48" i="2"/>
  <c r="AB48" i="2"/>
  <c r="R49" i="2"/>
  <c r="S49" i="2"/>
  <c r="T49" i="2"/>
  <c r="U49" i="2"/>
  <c r="V49" i="2"/>
  <c r="W49" i="2"/>
  <c r="X49" i="2"/>
  <c r="AA49" i="2"/>
  <c r="AB49" i="2"/>
  <c r="R50" i="2"/>
  <c r="S50" i="2"/>
  <c r="T50" i="2"/>
  <c r="U50" i="2"/>
  <c r="V50" i="2"/>
  <c r="W50" i="2"/>
  <c r="X50" i="2"/>
  <c r="AA50" i="2"/>
  <c r="AB50" i="2"/>
  <c r="R51" i="2"/>
  <c r="S51" i="2"/>
  <c r="T51" i="2"/>
  <c r="U51" i="2"/>
  <c r="V51" i="2"/>
  <c r="W51" i="2"/>
  <c r="X51" i="2"/>
  <c r="AA51" i="2"/>
  <c r="AB51" i="2"/>
  <c r="R52" i="2"/>
  <c r="S52" i="2"/>
  <c r="T52" i="2"/>
  <c r="U52" i="2"/>
  <c r="V52" i="2"/>
  <c r="W52" i="2"/>
  <c r="X52" i="2"/>
  <c r="AA52" i="2"/>
  <c r="AB52" i="2"/>
  <c r="R53" i="2"/>
  <c r="S53" i="2"/>
  <c r="T53" i="2"/>
  <c r="U53" i="2"/>
  <c r="V53" i="2"/>
  <c r="W53" i="2"/>
  <c r="X53" i="2"/>
  <c r="AA53" i="2"/>
  <c r="AB53" i="2"/>
  <c r="R54" i="2"/>
  <c r="S54" i="2"/>
  <c r="T54" i="2"/>
  <c r="U54" i="2"/>
  <c r="V54" i="2"/>
  <c r="W54" i="2"/>
  <c r="X54" i="2"/>
  <c r="AA54" i="2"/>
  <c r="AB54" i="2"/>
  <c r="R55" i="2"/>
  <c r="S55" i="2"/>
  <c r="T55" i="2"/>
  <c r="U55" i="2"/>
  <c r="V55" i="2"/>
  <c r="W55" i="2"/>
  <c r="X55" i="2"/>
  <c r="AA55" i="2"/>
  <c r="AB55" i="2"/>
  <c r="R56" i="2"/>
  <c r="S56" i="2"/>
  <c r="T56" i="2"/>
  <c r="U56" i="2"/>
  <c r="V56" i="2"/>
  <c r="W56" i="2"/>
  <c r="X56" i="2"/>
  <c r="AA56" i="2"/>
  <c r="AB56" i="2"/>
  <c r="R57" i="2"/>
  <c r="S57" i="2"/>
  <c r="T57" i="2"/>
  <c r="U57" i="2"/>
  <c r="V57" i="2"/>
  <c r="W57" i="2"/>
  <c r="X57" i="2"/>
  <c r="AA57" i="2"/>
  <c r="AB57" i="2"/>
  <c r="R58" i="2"/>
  <c r="S58" i="2"/>
  <c r="T58" i="2"/>
  <c r="U58" i="2"/>
  <c r="V58" i="2"/>
  <c r="W58" i="2"/>
  <c r="X58" i="2"/>
  <c r="AA58" i="2"/>
  <c r="AB58" i="2"/>
  <c r="R59" i="2"/>
  <c r="S59" i="2"/>
  <c r="T59" i="2"/>
  <c r="U59" i="2"/>
  <c r="V59" i="2"/>
  <c r="W59" i="2"/>
  <c r="X59" i="2"/>
  <c r="AA59" i="2"/>
  <c r="AB59" i="2"/>
  <c r="R60" i="2"/>
  <c r="S60" i="2"/>
  <c r="T60" i="2"/>
  <c r="U60" i="2"/>
  <c r="V60" i="2"/>
  <c r="W60" i="2"/>
  <c r="X60" i="2"/>
  <c r="AA60" i="2"/>
  <c r="AB60" i="2"/>
  <c r="R61" i="2"/>
  <c r="S61" i="2"/>
  <c r="T61" i="2"/>
  <c r="U61" i="2"/>
  <c r="V61" i="2"/>
  <c r="W61" i="2"/>
  <c r="X61" i="2"/>
  <c r="AA61" i="2"/>
  <c r="AB61" i="2"/>
  <c r="R62" i="2"/>
  <c r="S62" i="2"/>
  <c r="T62" i="2"/>
  <c r="U62" i="2"/>
  <c r="V62" i="2"/>
  <c r="W62" i="2"/>
  <c r="X62" i="2"/>
  <c r="AA62" i="2"/>
  <c r="AB62" i="2"/>
  <c r="R63" i="2"/>
  <c r="S63" i="2"/>
  <c r="T63" i="2"/>
  <c r="U63" i="2"/>
  <c r="V63" i="2"/>
  <c r="W63" i="2"/>
  <c r="X63" i="2"/>
  <c r="AA63" i="2"/>
  <c r="AB63" i="2"/>
  <c r="R64" i="2"/>
  <c r="S64" i="2"/>
  <c r="T64" i="2"/>
  <c r="U64" i="2"/>
  <c r="V64" i="2"/>
  <c r="W64" i="2"/>
  <c r="X64" i="2"/>
  <c r="AA64" i="2"/>
  <c r="AB64" i="2"/>
  <c r="R65" i="2"/>
  <c r="S65" i="2"/>
  <c r="T65" i="2"/>
  <c r="U65" i="2"/>
  <c r="V65" i="2"/>
  <c r="W65" i="2"/>
  <c r="X65" i="2"/>
  <c r="AA65" i="2"/>
  <c r="AB65" i="2"/>
  <c r="R66" i="2"/>
  <c r="S66" i="2"/>
  <c r="T66" i="2"/>
  <c r="U66" i="2"/>
  <c r="V66" i="2"/>
  <c r="W66" i="2"/>
  <c r="X66" i="2"/>
  <c r="AA66" i="2"/>
  <c r="AB66" i="2"/>
  <c r="R67" i="2"/>
  <c r="S67" i="2"/>
  <c r="T67" i="2"/>
  <c r="U67" i="2"/>
  <c r="V67" i="2"/>
  <c r="W67" i="2"/>
  <c r="X67" i="2"/>
  <c r="AA67" i="2"/>
  <c r="AB67" i="2"/>
  <c r="R68" i="2"/>
  <c r="S68" i="2"/>
  <c r="T68" i="2"/>
  <c r="U68" i="2"/>
  <c r="V68" i="2"/>
  <c r="W68" i="2"/>
  <c r="X68" i="2"/>
  <c r="AA68" i="2"/>
  <c r="AB68" i="2"/>
  <c r="R69" i="2"/>
  <c r="S69" i="2"/>
  <c r="T69" i="2"/>
  <c r="U69" i="2"/>
  <c r="V69" i="2"/>
  <c r="W69" i="2"/>
  <c r="X69" i="2"/>
  <c r="AA69" i="2"/>
  <c r="AB69" i="2"/>
  <c r="R70" i="2"/>
  <c r="S70" i="2"/>
  <c r="T70" i="2"/>
  <c r="U70" i="2"/>
  <c r="V70" i="2"/>
  <c r="W70" i="2"/>
  <c r="X70" i="2"/>
  <c r="AA70" i="2"/>
  <c r="AB70" i="2"/>
  <c r="R71" i="2"/>
  <c r="S71" i="2"/>
  <c r="T71" i="2"/>
  <c r="U71" i="2"/>
  <c r="V71" i="2"/>
  <c r="W71" i="2"/>
  <c r="X71" i="2"/>
  <c r="AA71" i="2"/>
  <c r="AB71" i="2"/>
  <c r="R72" i="2"/>
  <c r="S72" i="2"/>
  <c r="T72" i="2"/>
  <c r="U72" i="2"/>
  <c r="V72" i="2"/>
  <c r="W72" i="2"/>
  <c r="X72" i="2"/>
  <c r="AA72" i="2"/>
  <c r="AB72" i="2"/>
  <c r="R73" i="2"/>
  <c r="S73" i="2"/>
  <c r="T73" i="2"/>
  <c r="U73" i="2"/>
  <c r="V73" i="2"/>
  <c r="W73" i="2"/>
  <c r="X73" i="2"/>
  <c r="AA73" i="2"/>
  <c r="AB73" i="2"/>
  <c r="R74" i="2"/>
  <c r="S74" i="2"/>
  <c r="T74" i="2"/>
  <c r="U74" i="2"/>
  <c r="V74" i="2"/>
  <c r="W74" i="2"/>
  <c r="X74" i="2"/>
  <c r="AA74" i="2"/>
  <c r="AB74" i="2"/>
  <c r="R75" i="2"/>
  <c r="S75" i="2"/>
  <c r="T75" i="2"/>
  <c r="U75" i="2"/>
  <c r="V75" i="2"/>
  <c r="W75" i="2"/>
  <c r="X75" i="2"/>
  <c r="AA75" i="2"/>
  <c r="AB75" i="2"/>
  <c r="R76" i="2"/>
  <c r="S76" i="2"/>
  <c r="T76" i="2"/>
  <c r="U76" i="2"/>
  <c r="V76" i="2"/>
  <c r="W76" i="2"/>
  <c r="X76" i="2"/>
  <c r="AA76" i="2"/>
  <c r="AB76" i="2"/>
  <c r="R77" i="2"/>
  <c r="S77" i="2"/>
  <c r="T77" i="2"/>
  <c r="U77" i="2"/>
  <c r="V77" i="2"/>
  <c r="W77" i="2"/>
  <c r="X77" i="2"/>
  <c r="AA77" i="2"/>
  <c r="AB77" i="2"/>
  <c r="R78" i="2"/>
  <c r="S78" i="2"/>
  <c r="T78" i="2"/>
  <c r="U78" i="2"/>
  <c r="V78" i="2"/>
  <c r="W78" i="2"/>
  <c r="X78" i="2"/>
  <c r="AA78" i="2"/>
  <c r="AB78" i="2"/>
  <c r="R79" i="2"/>
  <c r="S79" i="2"/>
  <c r="T79" i="2"/>
  <c r="U79" i="2"/>
  <c r="V79" i="2"/>
  <c r="W79" i="2"/>
  <c r="X79" i="2"/>
  <c r="AA79" i="2"/>
  <c r="AB79" i="2"/>
  <c r="R80" i="2"/>
  <c r="S80" i="2"/>
  <c r="T80" i="2"/>
  <c r="U80" i="2"/>
  <c r="V80" i="2"/>
  <c r="W80" i="2"/>
  <c r="X80" i="2"/>
  <c r="AA80" i="2"/>
  <c r="AB80" i="2"/>
  <c r="R81" i="2"/>
  <c r="S81" i="2"/>
  <c r="T81" i="2"/>
  <c r="U81" i="2"/>
  <c r="V81" i="2"/>
  <c r="W81" i="2"/>
  <c r="X81" i="2"/>
  <c r="AA81" i="2"/>
  <c r="AB81" i="2"/>
  <c r="R82" i="2"/>
  <c r="S82" i="2"/>
  <c r="T82" i="2"/>
  <c r="U82" i="2"/>
  <c r="V82" i="2"/>
  <c r="W82" i="2"/>
  <c r="X82" i="2"/>
  <c r="AA82" i="2"/>
  <c r="AB82" i="2"/>
  <c r="R83" i="2"/>
  <c r="S83" i="2"/>
  <c r="T83" i="2"/>
  <c r="U83" i="2"/>
  <c r="V83" i="2"/>
  <c r="W83" i="2"/>
  <c r="X83" i="2"/>
  <c r="AA83" i="2"/>
  <c r="AB83" i="2"/>
  <c r="R84" i="2"/>
  <c r="S84" i="2"/>
  <c r="T84" i="2"/>
  <c r="U84" i="2"/>
  <c r="V84" i="2"/>
  <c r="W84" i="2"/>
  <c r="X84" i="2"/>
  <c r="AA84" i="2"/>
  <c r="AB84" i="2"/>
  <c r="R85" i="2"/>
  <c r="S85" i="2"/>
  <c r="T85" i="2"/>
  <c r="U85" i="2"/>
  <c r="V85" i="2"/>
  <c r="W85" i="2"/>
  <c r="X85" i="2"/>
  <c r="AA85" i="2"/>
  <c r="AB85" i="2"/>
  <c r="R86" i="2"/>
  <c r="S86" i="2"/>
  <c r="T86" i="2"/>
  <c r="U86" i="2"/>
  <c r="V86" i="2"/>
  <c r="W86" i="2"/>
  <c r="X86" i="2"/>
  <c r="AA86" i="2"/>
  <c r="AB86" i="2"/>
  <c r="R87" i="2"/>
  <c r="S87" i="2"/>
  <c r="T87" i="2"/>
  <c r="U87" i="2"/>
  <c r="V87" i="2"/>
  <c r="W87" i="2"/>
  <c r="X87" i="2"/>
  <c r="AA87" i="2"/>
  <c r="AB87" i="2"/>
  <c r="R88" i="2"/>
  <c r="S88" i="2"/>
  <c r="T88" i="2"/>
  <c r="U88" i="2"/>
  <c r="V88" i="2"/>
  <c r="W88" i="2"/>
  <c r="X88" i="2"/>
  <c r="AA88" i="2"/>
  <c r="AB88" i="2"/>
  <c r="R89" i="2"/>
  <c r="S89" i="2"/>
  <c r="T89" i="2"/>
  <c r="U89" i="2"/>
  <c r="V89" i="2"/>
  <c r="W89" i="2"/>
  <c r="X89" i="2"/>
  <c r="AA89" i="2"/>
  <c r="AB89" i="2"/>
  <c r="R90" i="2"/>
  <c r="S90" i="2"/>
  <c r="T90" i="2"/>
  <c r="U90" i="2"/>
  <c r="V90" i="2"/>
  <c r="W90" i="2"/>
  <c r="X90" i="2"/>
  <c r="AA90" i="2"/>
  <c r="AB90" i="2"/>
  <c r="R91" i="2"/>
  <c r="S91" i="2"/>
  <c r="T91" i="2"/>
  <c r="U91" i="2"/>
  <c r="V91" i="2"/>
  <c r="W91" i="2"/>
  <c r="X91" i="2"/>
  <c r="AA91" i="2"/>
  <c r="AB91" i="2"/>
  <c r="R92" i="2"/>
  <c r="S92" i="2"/>
  <c r="T92" i="2"/>
  <c r="U92" i="2"/>
  <c r="V92" i="2"/>
  <c r="W92" i="2"/>
  <c r="X92" i="2"/>
  <c r="AA92" i="2"/>
  <c r="AB92" i="2"/>
  <c r="R93" i="2"/>
  <c r="S93" i="2"/>
  <c r="T93" i="2"/>
  <c r="U93" i="2"/>
  <c r="V93" i="2"/>
  <c r="W93" i="2"/>
  <c r="X93" i="2"/>
  <c r="AA93" i="2"/>
  <c r="AB93" i="2"/>
  <c r="R94" i="2"/>
  <c r="S94" i="2"/>
  <c r="T94" i="2"/>
  <c r="U94" i="2"/>
  <c r="V94" i="2"/>
  <c r="W94" i="2"/>
  <c r="X94" i="2"/>
  <c r="AA94" i="2"/>
  <c r="AB94" i="2"/>
  <c r="R95" i="2"/>
  <c r="S95" i="2"/>
  <c r="T95" i="2"/>
  <c r="U95" i="2"/>
  <c r="V95" i="2"/>
  <c r="W95" i="2"/>
  <c r="X95" i="2"/>
  <c r="AA95" i="2"/>
  <c r="AB95" i="2"/>
  <c r="R96" i="2"/>
  <c r="S96" i="2"/>
  <c r="T96" i="2"/>
  <c r="U96" i="2"/>
  <c r="V96" i="2"/>
  <c r="W96" i="2"/>
  <c r="X96" i="2"/>
  <c r="AA96" i="2"/>
  <c r="AB96" i="2"/>
  <c r="R97" i="2"/>
  <c r="S97" i="2"/>
  <c r="T97" i="2"/>
  <c r="U97" i="2"/>
  <c r="V97" i="2"/>
  <c r="W97" i="2"/>
  <c r="X97" i="2"/>
  <c r="AA97" i="2"/>
  <c r="AB97" i="2"/>
  <c r="R98" i="2"/>
  <c r="S98" i="2"/>
  <c r="T98" i="2"/>
  <c r="U98" i="2"/>
  <c r="V98" i="2"/>
  <c r="W98" i="2"/>
  <c r="X98" i="2"/>
  <c r="AA98" i="2"/>
  <c r="AB98" i="2"/>
  <c r="R99" i="2"/>
  <c r="S99" i="2"/>
  <c r="T99" i="2"/>
  <c r="U99" i="2"/>
  <c r="V99" i="2"/>
  <c r="W99" i="2"/>
  <c r="X99" i="2"/>
  <c r="AA99" i="2"/>
  <c r="AB99" i="2"/>
  <c r="R100" i="2"/>
  <c r="S100" i="2"/>
  <c r="T100" i="2"/>
  <c r="U100" i="2"/>
  <c r="V100" i="2"/>
  <c r="W100" i="2"/>
  <c r="X100" i="2"/>
  <c r="AA100" i="2"/>
  <c r="AB100" i="2"/>
  <c r="R101" i="2"/>
  <c r="S101" i="2"/>
  <c r="T101" i="2"/>
  <c r="U101" i="2"/>
  <c r="V101" i="2"/>
  <c r="W101" i="2"/>
  <c r="X101" i="2"/>
  <c r="AA101" i="2"/>
  <c r="AB101" i="2"/>
  <c r="R102" i="2"/>
  <c r="S102" i="2"/>
  <c r="T102" i="2"/>
  <c r="U102" i="2"/>
  <c r="V102" i="2"/>
  <c r="W102" i="2"/>
  <c r="X102" i="2"/>
  <c r="AA102" i="2"/>
  <c r="AB102" i="2"/>
  <c r="R103" i="2"/>
  <c r="S103" i="2"/>
  <c r="T103" i="2"/>
  <c r="U103" i="2"/>
  <c r="V103" i="2"/>
  <c r="W103" i="2"/>
  <c r="X103" i="2"/>
  <c r="AA103" i="2"/>
  <c r="AB103" i="2"/>
  <c r="R104" i="2"/>
  <c r="S104" i="2"/>
  <c r="T104" i="2"/>
  <c r="U104" i="2"/>
  <c r="V104" i="2"/>
  <c r="W104" i="2"/>
  <c r="X104" i="2"/>
  <c r="AA104" i="2"/>
  <c r="AB104" i="2"/>
  <c r="R105" i="2"/>
  <c r="S105" i="2"/>
  <c r="T105" i="2"/>
  <c r="U105" i="2"/>
  <c r="V105" i="2"/>
  <c r="W105" i="2"/>
  <c r="X105" i="2"/>
  <c r="AA105" i="2"/>
  <c r="AB105" i="2"/>
  <c r="R106" i="2"/>
  <c r="S106" i="2"/>
  <c r="T106" i="2"/>
  <c r="U106" i="2"/>
  <c r="V106" i="2"/>
  <c r="W106" i="2"/>
  <c r="X106" i="2"/>
  <c r="AA106" i="2"/>
  <c r="AB106" i="2"/>
  <c r="R107" i="2"/>
  <c r="S107" i="2"/>
  <c r="T107" i="2"/>
  <c r="U107" i="2"/>
  <c r="V107" i="2"/>
  <c r="W107" i="2"/>
  <c r="X107" i="2"/>
  <c r="AA107" i="2"/>
  <c r="AB107" i="2"/>
  <c r="R108" i="2"/>
  <c r="S108" i="2"/>
  <c r="T108" i="2"/>
  <c r="U108" i="2"/>
  <c r="V108" i="2"/>
  <c r="W108" i="2"/>
  <c r="X108" i="2"/>
  <c r="AA108" i="2"/>
  <c r="AB108" i="2"/>
  <c r="R109" i="2"/>
  <c r="S109" i="2"/>
  <c r="T109" i="2"/>
  <c r="U109" i="2"/>
  <c r="V109" i="2"/>
  <c r="W109" i="2"/>
  <c r="X109" i="2"/>
  <c r="AA109" i="2"/>
  <c r="AB109" i="2"/>
  <c r="R110" i="2"/>
  <c r="S110" i="2"/>
  <c r="T110" i="2"/>
  <c r="U110" i="2"/>
  <c r="V110" i="2"/>
  <c r="W110" i="2"/>
  <c r="X110" i="2"/>
  <c r="AA110" i="2"/>
  <c r="AB110" i="2"/>
  <c r="R111" i="2"/>
  <c r="S111" i="2"/>
  <c r="T111" i="2"/>
  <c r="U111" i="2"/>
  <c r="V111" i="2"/>
  <c r="W111" i="2"/>
  <c r="X111" i="2"/>
  <c r="AA111" i="2"/>
  <c r="AB111" i="2"/>
  <c r="R112" i="2"/>
  <c r="S112" i="2"/>
  <c r="T112" i="2"/>
  <c r="U112" i="2"/>
  <c r="V112" i="2"/>
  <c r="W112" i="2"/>
  <c r="X112" i="2"/>
  <c r="AA112" i="2"/>
  <c r="AB112" i="2"/>
  <c r="R113" i="2"/>
  <c r="S113" i="2"/>
  <c r="T113" i="2"/>
  <c r="U113" i="2"/>
  <c r="V113" i="2"/>
  <c r="W113" i="2"/>
  <c r="X113" i="2"/>
  <c r="AA113" i="2"/>
  <c r="AB113" i="2"/>
  <c r="R114" i="2"/>
  <c r="S114" i="2"/>
  <c r="T114" i="2"/>
  <c r="U114" i="2"/>
  <c r="V114" i="2"/>
  <c r="W114" i="2"/>
  <c r="X114" i="2"/>
  <c r="AA114" i="2"/>
  <c r="AB114" i="2"/>
  <c r="R115" i="2"/>
  <c r="S115" i="2"/>
  <c r="T115" i="2"/>
  <c r="U115" i="2"/>
  <c r="V115" i="2"/>
  <c r="W115" i="2"/>
  <c r="X115" i="2"/>
  <c r="AA115" i="2"/>
  <c r="AB115" i="2"/>
  <c r="R116" i="2"/>
  <c r="S116" i="2"/>
  <c r="T116" i="2"/>
  <c r="U116" i="2"/>
  <c r="V116" i="2"/>
  <c r="W116" i="2"/>
  <c r="X116" i="2"/>
  <c r="AA116" i="2"/>
  <c r="AB116" i="2"/>
  <c r="R117" i="2"/>
  <c r="S117" i="2"/>
  <c r="T117" i="2"/>
  <c r="U117" i="2"/>
  <c r="V117" i="2"/>
  <c r="W117" i="2"/>
  <c r="X117" i="2"/>
  <c r="AA117" i="2"/>
  <c r="AB117" i="2"/>
  <c r="R118" i="2"/>
  <c r="S118" i="2"/>
  <c r="T118" i="2"/>
  <c r="U118" i="2"/>
  <c r="V118" i="2"/>
  <c r="W118" i="2"/>
  <c r="X118" i="2"/>
  <c r="AA118" i="2"/>
  <c r="AB118" i="2"/>
  <c r="R119" i="2"/>
  <c r="S119" i="2"/>
  <c r="T119" i="2"/>
  <c r="U119" i="2"/>
  <c r="V119" i="2"/>
  <c r="W119" i="2"/>
  <c r="X119" i="2"/>
  <c r="AA119" i="2"/>
  <c r="AB119" i="2"/>
  <c r="R120" i="2"/>
  <c r="S120" i="2"/>
  <c r="T120" i="2"/>
  <c r="U120" i="2"/>
  <c r="V120" i="2"/>
  <c r="W120" i="2"/>
  <c r="X120" i="2"/>
  <c r="AA120" i="2"/>
  <c r="AB120" i="2"/>
  <c r="R121" i="2"/>
  <c r="S121" i="2"/>
  <c r="T121" i="2"/>
  <c r="U121" i="2"/>
  <c r="V121" i="2"/>
  <c r="W121" i="2"/>
  <c r="X121" i="2"/>
  <c r="AA121" i="2"/>
  <c r="AB121" i="2"/>
  <c r="R122" i="2"/>
  <c r="S122" i="2"/>
  <c r="T122" i="2"/>
  <c r="U122" i="2"/>
  <c r="V122" i="2"/>
  <c r="W122" i="2"/>
  <c r="X122" i="2"/>
  <c r="AA122" i="2"/>
  <c r="AB122" i="2"/>
  <c r="C166" i="3"/>
  <c r="AB3" i="2"/>
  <c r="AA3" i="2"/>
  <c r="P4" i="2"/>
  <c r="Q4" i="2"/>
  <c r="P5" i="2"/>
  <c r="Q5" i="2"/>
  <c r="P6" i="2"/>
  <c r="Q6" i="2"/>
  <c r="P7" i="2"/>
  <c r="Q7" i="2"/>
  <c r="P8" i="2"/>
  <c r="Q8" i="2"/>
  <c r="P9" i="2"/>
  <c r="Q9" i="2"/>
  <c r="P10" i="2"/>
  <c r="Q10" i="2"/>
  <c r="P11" i="2"/>
  <c r="Q11" i="2"/>
  <c r="P12" i="2"/>
  <c r="Q12" i="2"/>
  <c r="P13" i="2"/>
  <c r="Q13" i="2"/>
  <c r="P14" i="2"/>
  <c r="Q14" i="2"/>
  <c r="P16" i="2"/>
  <c r="Q16" i="2"/>
  <c r="P17" i="2"/>
  <c r="Q17" i="2"/>
  <c r="P18" i="2"/>
  <c r="Q18" i="2"/>
  <c r="P19" i="2"/>
  <c r="Q19" i="2"/>
  <c r="P20" i="2"/>
  <c r="Q20" i="2"/>
  <c r="P21" i="2"/>
  <c r="Q21" i="2"/>
  <c r="P22" i="2"/>
  <c r="Q22" i="2"/>
  <c r="P23" i="2"/>
  <c r="Q23" i="2"/>
  <c r="P24" i="2"/>
  <c r="Q24" i="2"/>
  <c r="P25" i="2"/>
  <c r="Q25" i="2"/>
  <c r="P26" i="2"/>
  <c r="Q26" i="2"/>
  <c r="Q27" i="2"/>
  <c r="P28" i="2"/>
  <c r="Q28" i="2"/>
  <c r="P29" i="2"/>
  <c r="Q29" i="2"/>
  <c r="P30" i="2"/>
  <c r="Q30" i="2"/>
  <c r="P31" i="2"/>
  <c r="Q31" i="2"/>
  <c r="P32" i="2"/>
  <c r="Q32" i="2"/>
  <c r="P33" i="2"/>
  <c r="Q33" i="2"/>
  <c r="P34" i="2"/>
  <c r="Q34" i="2"/>
  <c r="P35" i="2"/>
  <c r="Q35" i="2"/>
  <c r="P36" i="2"/>
  <c r="Q36" i="2"/>
  <c r="P37" i="2"/>
  <c r="Q37" i="2"/>
  <c r="P38" i="2"/>
  <c r="Q38" i="2"/>
  <c r="P39" i="2"/>
  <c r="Q39" i="2"/>
  <c r="P40" i="2"/>
  <c r="Q40" i="2"/>
  <c r="P41" i="2"/>
  <c r="Q41" i="2"/>
  <c r="P42" i="2"/>
  <c r="Q42" i="2"/>
  <c r="P43" i="2"/>
  <c r="Q43" i="2"/>
  <c r="P44" i="2"/>
  <c r="Q44" i="2"/>
  <c r="P45" i="2"/>
  <c r="Q45" i="2"/>
  <c r="P46" i="2"/>
  <c r="Q46" i="2"/>
  <c r="P47" i="2"/>
  <c r="Q47" i="2"/>
  <c r="P48" i="2"/>
  <c r="Q48" i="2"/>
  <c r="P49" i="2"/>
  <c r="Q49" i="2"/>
  <c r="P50" i="2"/>
  <c r="Q50" i="2"/>
  <c r="P51" i="2"/>
  <c r="Q51" i="2"/>
  <c r="P52" i="2"/>
  <c r="Q52" i="2"/>
  <c r="P53" i="2"/>
  <c r="Q53" i="2"/>
  <c r="P54" i="2"/>
  <c r="Q54" i="2"/>
  <c r="P55" i="2"/>
  <c r="Q55" i="2"/>
  <c r="P56" i="2"/>
  <c r="Q56" i="2"/>
  <c r="P57" i="2"/>
  <c r="Q57" i="2"/>
  <c r="P58" i="2"/>
  <c r="Q58" i="2"/>
  <c r="P59" i="2"/>
  <c r="Q59" i="2"/>
  <c r="P60" i="2"/>
  <c r="Q60" i="2"/>
  <c r="P61" i="2"/>
  <c r="Q61" i="2"/>
  <c r="P62" i="2"/>
  <c r="Q62" i="2"/>
  <c r="P63" i="2"/>
  <c r="Q63" i="2"/>
  <c r="P64" i="2"/>
  <c r="Q64" i="2"/>
  <c r="P65" i="2"/>
  <c r="Q65" i="2"/>
  <c r="P66" i="2"/>
  <c r="Q66" i="2"/>
  <c r="P67" i="2"/>
  <c r="Q67" i="2"/>
  <c r="P68" i="2"/>
  <c r="Q68" i="2"/>
  <c r="P69" i="2"/>
  <c r="Q69" i="2"/>
  <c r="P70" i="2"/>
  <c r="Q70" i="2"/>
  <c r="P71" i="2"/>
  <c r="Q71" i="2"/>
  <c r="P72" i="2"/>
  <c r="Q72" i="2"/>
  <c r="P73" i="2"/>
  <c r="Q73" i="2"/>
  <c r="P74" i="2"/>
  <c r="Q74" i="2"/>
  <c r="P75" i="2"/>
  <c r="Q75" i="2"/>
  <c r="P76" i="2"/>
  <c r="Q76" i="2"/>
  <c r="P77" i="2"/>
  <c r="Q77" i="2"/>
  <c r="P78" i="2"/>
  <c r="Q78" i="2"/>
  <c r="P79" i="2"/>
  <c r="Q79" i="2"/>
  <c r="P80" i="2"/>
  <c r="Q80" i="2"/>
  <c r="P81" i="2"/>
  <c r="Q81" i="2"/>
  <c r="P82" i="2"/>
  <c r="Q82" i="2"/>
  <c r="P83" i="2"/>
  <c r="Q83" i="2"/>
  <c r="P84" i="2"/>
  <c r="Q84" i="2"/>
  <c r="P85" i="2"/>
  <c r="Q85" i="2"/>
  <c r="P86" i="2"/>
  <c r="Q86" i="2"/>
  <c r="P87" i="2"/>
  <c r="Q87" i="2"/>
  <c r="P88" i="2"/>
  <c r="Q88" i="2"/>
  <c r="P89" i="2"/>
  <c r="Q89" i="2"/>
  <c r="P90" i="2"/>
  <c r="Q90" i="2"/>
  <c r="P91" i="2"/>
  <c r="Q91" i="2"/>
  <c r="P92" i="2"/>
  <c r="Q92" i="2"/>
  <c r="P93" i="2"/>
  <c r="Q93" i="2"/>
  <c r="P94" i="2"/>
  <c r="Q94" i="2"/>
  <c r="P95" i="2"/>
  <c r="Q95" i="2"/>
  <c r="P96" i="2"/>
  <c r="Q96" i="2"/>
  <c r="P97" i="2"/>
  <c r="Q97" i="2"/>
  <c r="P98" i="2"/>
  <c r="Q98" i="2"/>
  <c r="P99" i="2"/>
  <c r="Q99" i="2"/>
  <c r="P100" i="2"/>
  <c r="Q100" i="2"/>
  <c r="P101" i="2"/>
  <c r="Q101" i="2"/>
  <c r="P102" i="2"/>
  <c r="Q102" i="2"/>
  <c r="P103" i="2"/>
  <c r="Q103" i="2"/>
  <c r="P104" i="2"/>
  <c r="Q104" i="2"/>
  <c r="P105" i="2"/>
  <c r="Q105" i="2"/>
  <c r="P106" i="2"/>
  <c r="Q106" i="2"/>
  <c r="P107" i="2"/>
  <c r="Q107" i="2"/>
  <c r="P108" i="2"/>
  <c r="Q108" i="2"/>
  <c r="P109" i="2"/>
  <c r="Q109" i="2"/>
  <c r="P110" i="2"/>
  <c r="Q110" i="2"/>
  <c r="P111" i="2"/>
  <c r="Q111" i="2"/>
  <c r="P112" i="2"/>
  <c r="Q112" i="2"/>
  <c r="P113" i="2"/>
  <c r="Q113" i="2"/>
  <c r="P114" i="2"/>
  <c r="Q114" i="2"/>
  <c r="P115" i="2"/>
  <c r="Q115" i="2"/>
  <c r="P116" i="2"/>
  <c r="Q116" i="2"/>
  <c r="P117" i="2"/>
  <c r="Q117" i="2"/>
  <c r="P118" i="2"/>
  <c r="Q118" i="2"/>
  <c r="P119" i="2"/>
  <c r="Q119" i="2"/>
  <c r="P120" i="2"/>
  <c r="Q120" i="2"/>
  <c r="P121" i="2"/>
  <c r="Q121" i="2"/>
  <c r="P122" i="2"/>
  <c r="Q122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N100" i="2"/>
  <c r="O100" i="2"/>
  <c r="N101" i="2"/>
  <c r="O101" i="2"/>
  <c r="N102" i="2"/>
  <c r="O102" i="2"/>
  <c r="N103" i="2"/>
  <c r="O103" i="2"/>
  <c r="N104" i="2"/>
  <c r="O104" i="2"/>
  <c r="N105" i="2"/>
  <c r="O105" i="2"/>
  <c r="N106" i="2"/>
  <c r="O106" i="2"/>
  <c r="N107" i="2"/>
  <c r="O107" i="2"/>
  <c r="N108" i="2"/>
  <c r="O108" i="2"/>
  <c r="N109" i="2"/>
  <c r="O109" i="2"/>
  <c r="N110" i="2"/>
  <c r="O110" i="2"/>
  <c r="N111" i="2"/>
  <c r="N112" i="2"/>
  <c r="O112" i="2"/>
  <c r="N113" i="2"/>
  <c r="O113" i="2"/>
  <c r="N114" i="2"/>
  <c r="O114" i="2"/>
  <c r="N115" i="2"/>
  <c r="O115" i="2"/>
  <c r="N116" i="2"/>
  <c r="O116" i="2"/>
  <c r="N117" i="2"/>
  <c r="O117" i="2"/>
  <c r="N118" i="2"/>
  <c r="O118" i="2"/>
  <c r="N119" i="2"/>
  <c r="O119" i="2"/>
  <c r="N120" i="2"/>
  <c r="O120" i="2"/>
  <c r="N121" i="2"/>
  <c r="O121" i="2"/>
  <c r="N122" i="2"/>
  <c r="O122" i="2"/>
  <c r="M4" i="2"/>
  <c r="M5" i="2"/>
  <c r="M6" i="2"/>
  <c r="M7" i="2"/>
  <c r="M9" i="2"/>
  <c r="M10" i="2"/>
  <c r="M11" i="2"/>
  <c r="M12" i="2"/>
  <c r="M13" i="2"/>
  <c r="M14" i="2"/>
  <c r="M15" i="2"/>
  <c r="M16" i="2"/>
  <c r="M17" i="2"/>
  <c r="M18" i="2"/>
  <c r="M19" i="2"/>
  <c r="M21" i="2"/>
  <c r="M22" i="2"/>
  <c r="M23" i="2"/>
  <c r="M24" i="2"/>
  <c r="M25" i="2"/>
  <c r="M26" i="2"/>
  <c r="M27" i="2"/>
  <c r="M28" i="2"/>
  <c r="M29" i="2"/>
  <c r="M30" i="2"/>
  <c r="M31" i="2"/>
  <c r="M33" i="2"/>
  <c r="M34" i="2"/>
  <c r="M35" i="2"/>
  <c r="M36" i="2"/>
  <c r="M37" i="2"/>
  <c r="M38" i="2"/>
  <c r="M39" i="2"/>
  <c r="M40" i="2"/>
  <c r="M41" i="2"/>
  <c r="M42" i="2"/>
  <c r="M43" i="2"/>
  <c r="M45" i="2"/>
  <c r="M46" i="2"/>
  <c r="M47" i="2"/>
  <c r="M48" i="2"/>
  <c r="M49" i="2"/>
  <c r="M50" i="2"/>
  <c r="M51" i="2"/>
  <c r="M52" i="2"/>
  <c r="M53" i="2"/>
  <c r="M54" i="2"/>
  <c r="M55" i="2"/>
  <c r="M57" i="2"/>
  <c r="M58" i="2"/>
  <c r="M59" i="2"/>
  <c r="M60" i="2"/>
  <c r="M61" i="2"/>
  <c r="M62" i="2"/>
  <c r="M63" i="2"/>
  <c r="M64" i="2"/>
  <c r="M65" i="2"/>
  <c r="M66" i="2"/>
  <c r="M67" i="2"/>
  <c r="M69" i="2"/>
  <c r="M70" i="2"/>
  <c r="M71" i="2"/>
  <c r="M72" i="2"/>
  <c r="M73" i="2"/>
  <c r="M74" i="2"/>
  <c r="M75" i="2"/>
  <c r="M76" i="2"/>
  <c r="M77" i="2"/>
  <c r="M78" i="2"/>
  <c r="M79" i="2"/>
  <c r="M81" i="2"/>
  <c r="M82" i="2"/>
  <c r="M83" i="2"/>
  <c r="M84" i="2"/>
  <c r="M85" i="2"/>
  <c r="M86" i="2"/>
  <c r="M87" i="2"/>
  <c r="M88" i="2"/>
  <c r="M89" i="2"/>
  <c r="M90" i="2"/>
  <c r="M91" i="2"/>
  <c r="M93" i="2"/>
  <c r="M94" i="2"/>
  <c r="M95" i="2"/>
  <c r="M96" i="2"/>
  <c r="M97" i="2"/>
  <c r="M98" i="2"/>
  <c r="M99" i="2"/>
  <c r="M100" i="2"/>
  <c r="M101" i="2"/>
  <c r="M102" i="2"/>
  <c r="M103" i="2"/>
  <c r="M105" i="2"/>
  <c r="M106" i="2"/>
  <c r="M107" i="2"/>
  <c r="M108" i="2"/>
  <c r="M109" i="2"/>
  <c r="M110" i="2"/>
  <c r="M111" i="2"/>
  <c r="M112" i="2"/>
  <c r="M113" i="2"/>
  <c r="M114" i="2"/>
  <c r="M115" i="2"/>
  <c r="M117" i="2"/>
  <c r="M118" i="2"/>
  <c r="M119" i="2"/>
  <c r="M120" i="2"/>
  <c r="M121" i="2"/>
  <c r="M122" i="2"/>
  <c r="M3" i="2"/>
  <c r="AD6" i="2" a="1"/>
  <c r="AD3" i="2" a="1"/>
  <c r="AD7" i="2" a="1"/>
  <c r="AD4" i="2" a="1"/>
  <c r="AD8" i="2" a="1"/>
  <c r="AD12" i="2" a="1"/>
  <c r="AD16" i="2" a="1"/>
  <c r="AD20" i="2" a="1"/>
  <c r="AD24" i="2" a="1"/>
  <c r="AD28" i="2" a="1"/>
  <c r="AD32" i="2" a="1"/>
  <c r="AD36" i="2" a="1"/>
  <c r="AD40" i="2" a="1"/>
  <c r="AD44" i="2" a="1"/>
  <c r="AD48" i="2" a="1"/>
  <c r="AD52" i="2" a="1"/>
  <c r="AD56" i="2" a="1"/>
  <c r="AD60" i="2" a="1"/>
  <c r="AD64" i="2" a="1"/>
  <c r="AD68" i="2" a="1"/>
  <c r="AD72" i="2" a="1"/>
  <c r="AD76" i="2" a="1"/>
  <c r="AD80" i="2" a="1"/>
  <c r="AD84" i="2" a="1"/>
  <c r="AD88" i="2" a="1"/>
  <c r="AD92" i="2" a="1"/>
  <c r="AD96" i="2" a="1"/>
  <c r="AD100" i="2" a="1"/>
  <c r="AD104" i="2" a="1"/>
  <c r="AD108" i="2" a="1"/>
  <c r="AD112" i="2" a="1"/>
  <c r="AD116" i="2" a="1"/>
  <c r="AD120" i="2" a="1"/>
  <c r="AD5" i="2" a="1"/>
  <c r="AD9" i="2" a="1"/>
  <c r="AD13" i="2" a="1"/>
  <c r="AD17" i="2" a="1"/>
  <c r="AD21" i="2" a="1"/>
  <c r="AD25" i="2" a="1"/>
  <c r="AD29" i="2" a="1"/>
  <c r="AD33" i="2" a="1"/>
  <c r="AD37" i="2" a="1"/>
  <c r="AD41" i="2" a="1"/>
  <c r="AD45" i="2" a="1"/>
  <c r="AD49" i="2" a="1"/>
  <c r="AD53" i="2" a="1"/>
  <c r="AD57" i="2" a="1"/>
  <c r="AD61" i="2" a="1"/>
  <c r="AD65" i="2" a="1"/>
  <c r="AD69" i="2" a="1"/>
  <c r="AD73" i="2" a="1"/>
  <c r="AD77" i="2" a="1"/>
  <c r="AD81" i="2" a="1"/>
  <c r="AD85" i="2" a="1"/>
  <c r="AD89" i="2" a="1"/>
  <c r="AD93" i="2" a="1"/>
  <c r="AD97" i="2" a="1"/>
  <c r="AD101" i="2" a="1"/>
  <c r="AD105" i="2" a="1"/>
  <c r="AD109" i="2" a="1"/>
  <c r="AD113" i="2" a="1"/>
  <c r="AD117" i="2" a="1"/>
  <c r="AD121" i="2" a="1"/>
  <c r="AD10" i="2" a="1"/>
  <c r="AD14" i="2" a="1"/>
  <c r="AD18" i="2" a="1"/>
  <c r="AD22" i="2" a="1"/>
  <c r="AD26" i="2" a="1"/>
  <c r="AD30" i="2" a="1"/>
  <c r="AD34" i="2" a="1"/>
  <c r="AD38" i="2" a="1"/>
  <c r="AD42" i="2" a="1"/>
  <c r="AD46" i="2" a="1"/>
  <c r="AD50" i="2" a="1"/>
  <c r="AD54" i="2" a="1"/>
  <c r="AD58" i="2" a="1"/>
  <c r="AD62" i="2" a="1"/>
  <c r="AD66" i="2" a="1"/>
  <c r="AD70" i="2" a="1"/>
  <c r="AD74" i="2" a="1"/>
  <c r="AD78" i="2" a="1"/>
  <c r="AD82" i="2" a="1"/>
  <c r="AD86" i="2" a="1"/>
  <c r="AD90" i="2" a="1"/>
  <c r="AD94" i="2" a="1"/>
  <c r="AD98" i="2" a="1"/>
  <c r="AD102" i="2" a="1"/>
  <c r="AD106" i="2" a="1"/>
  <c r="AD110" i="2" a="1"/>
  <c r="AD114" i="2" a="1"/>
  <c r="AD118" i="2" a="1"/>
  <c r="AD122" i="2" a="1"/>
  <c r="AD119" i="2" a="1"/>
  <c r="AD115" i="2" a="1"/>
  <c r="AD11" i="2" a="1"/>
  <c r="AD15" i="2" a="1"/>
  <c r="AD19" i="2" a="1"/>
  <c r="AD23" i="2" a="1"/>
  <c r="AD27" i="2" a="1"/>
  <c r="AD31" i="2" a="1"/>
  <c r="AD35" i="2" a="1"/>
  <c r="AD39" i="2" a="1"/>
  <c r="AD43" i="2" a="1"/>
  <c r="AD47" i="2" a="1"/>
  <c r="AD51" i="2" a="1"/>
  <c r="AD55" i="2" a="1"/>
  <c r="AD59" i="2" a="1"/>
  <c r="AD63" i="2" a="1"/>
  <c r="AD67" i="2" a="1"/>
  <c r="AD71" i="2" a="1"/>
  <c r="AD75" i="2" a="1"/>
  <c r="AD79" i="2" a="1"/>
  <c r="AD83" i="2" a="1"/>
  <c r="AD87" i="2" a="1"/>
  <c r="AD91" i="2" a="1"/>
  <c r="AD95" i="2" a="1"/>
  <c r="AD99" i="2" a="1"/>
  <c r="AD103" i="2" a="1"/>
  <c r="AD107" i="2" a="1"/>
  <c r="AD111" i="2" a="1"/>
  <c r="L68" i="3" l="1"/>
  <c r="AD3" i="2"/>
  <c r="AD6" i="2"/>
  <c r="AD7" i="2"/>
  <c r="I39" i="3"/>
  <c r="I43" i="3" s="1"/>
  <c r="J43" i="3"/>
  <c r="G39" i="3"/>
  <c r="G43" i="3" s="1"/>
  <c r="E39" i="3"/>
  <c r="E43" i="3" s="1"/>
  <c r="F43" i="3"/>
  <c r="D39" i="3"/>
  <c r="D43" i="3" s="1"/>
  <c r="H43" i="3"/>
  <c r="C43" i="3"/>
  <c r="C79" i="3" s="1"/>
  <c r="C83" i="3" s="1"/>
  <c r="AD111" i="2"/>
  <c r="AD107" i="2"/>
  <c r="AD103" i="2"/>
  <c r="AD99" i="2"/>
  <c r="AD95" i="2"/>
  <c r="AD91" i="2"/>
  <c r="AD87" i="2"/>
  <c r="AD83" i="2"/>
  <c r="AD79" i="2"/>
  <c r="AD75" i="2"/>
  <c r="AD71" i="2"/>
  <c r="AD67" i="2"/>
  <c r="AD63" i="2"/>
  <c r="AD59" i="2"/>
  <c r="AD55" i="2"/>
  <c r="AD51" i="2"/>
  <c r="AD47" i="2"/>
  <c r="AD43" i="2"/>
  <c r="AD39" i="2"/>
  <c r="AD35" i="2"/>
  <c r="AD31" i="2"/>
  <c r="AD27" i="2"/>
  <c r="AD23" i="2"/>
  <c r="AD19" i="2"/>
  <c r="AD15" i="2"/>
  <c r="AD11" i="2"/>
  <c r="AD115" i="2"/>
  <c r="AD119" i="2"/>
  <c r="AD122" i="2"/>
  <c r="AD118" i="2"/>
  <c r="AD114" i="2"/>
  <c r="AD110" i="2"/>
  <c r="AD106" i="2"/>
  <c r="AD102" i="2"/>
  <c r="AD98" i="2"/>
  <c r="AD94" i="2"/>
  <c r="AD90" i="2"/>
  <c r="AD86" i="2"/>
  <c r="AD82" i="2"/>
  <c r="AD78" i="2"/>
  <c r="AD74" i="2"/>
  <c r="AD70" i="2"/>
  <c r="AD66" i="2"/>
  <c r="AD62" i="2"/>
  <c r="AD58" i="2"/>
  <c r="AD54" i="2"/>
  <c r="AD50" i="2"/>
  <c r="AD46" i="2"/>
  <c r="AD42" i="2"/>
  <c r="AD38" i="2"/>
  <c r="AD34" i="2"/>
  <c r="AD30" i="2"/>
  <c r="AD26" i="2"/>
  <c r="AD22" i="2"/>
  <c r="AD18" i="2"/>
  <c r="AD14" i="2"/>
  <c r="AD10" i="2"/>
  <c r="AD121" i="2"/>
  <c r="AD117" i="2"/>
  <c r="AD113" i="2"/>
  <c r="AD109" i="2"/>
  <c r="AD105" i="2"/>
  <c r="AD101" i="2"/>
  <c r="AD97" i="2"/>
  <c r="AD93" i="2"/>
  <c r="AD89" i="2"/>
  <c r="AD85" i="2"/>
  <c r="AD81" i="2"/>
  <c r="AD77" i="2"/>
  <c r="AD73" i="2"/>
  <c r="AD69" i="2"/>
  <c r="AD65" i="2"/>
  <c r="AD61" i="2"/>
  <c r="AD57" i="2"/>
  <c r="AD53" i="2"/>
  <c r="AD49" i="2"/>
  <c r="AD45" i="2"/>
  <c r="AD41" i="2"/>
  <c r="AD37" i="2"/>
  <c r="AD33" i="2"/>
  <c r="AD29" i="2"/>
  <c r="AD25" i="2"/>
  <c r="AD21" i="2"/>
  <c r="AD17" i="2"/>
  <c r="AD13" i="2"/>
  <c r="AD9" i="2"/>
  <c r="AD5" i="2"/>
  <c r="AD120" i="2"/>
  <c r="AD116" i="2"/>
  <c r="AD112" i="2"/>
  <c r="AD108" i="2"/>
  <c r="AD104" i="2"/>
  <c r="AD100" i="2"/>
  <c r="AD96" i="2"/>
  <c r="AD92" i="2"/>
  <c r="AD88" i="2"/>
  <c r="AD84" i="2"/>
  <c r="AD80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8" i="2"/>
  <c r="AD24" i="2"/>
  <c r="AD20" i="2"/>
  <c r="AD16" i="2"/>
  <c r="AD12" i="2"/>
  <c r="AD8" i="2"/>
  <c r="AD4" i="2"/>
  <c r="C110" i="3"/>
  <c r="L71" i="3"/>
  <c r="L67" i="3"/>
  <c r="K71" i="3"/>
  <c r="L72" i="3"/>
  <c r="E67" i="3"/>
  <c r="C111" i="3"/>
  <c r="L70" i="3"/>
  <c r="L69" i="3"/>
  <c r="C68" i="3"/>
  <c r="D67" i="3"/>
  <c r="G71" i="3"/>
  <c r="C117" i="3"/>
  <c r="C72" i="3"/>
  <c r="G70" i="3"/>
  <c r="C71" i="3"/>
  <c r="D70" i="3"/>
  <c r="C153" i="3"/>
  <c r="Z3" i="2" s="1"/>
  <c r="AC3" i="2" s="1"/>
  <c r="C69" i="3"/>
  <c r="C138" i="3"/>
  <c r="S3" i="2" s="1"/>
  <c r="H71" i="3"/>
  <c r="H69" i="3"/>
  <c r="D155" i="3"/>
  <c r="C67" i="3"/>
  <c r="F71" i="3"/>
  <c r="K67" i="3"/>
  <c r="E120" i="3"/>
  <c r="M32" i="2" s="1"/>
  <c r="C146" i="3"/>
  <c r="W3" i="2" s="1"/>
  <c r="J72" i="3"/>
  <c r="D71" i="3"/>
  <c r="J67" i="3"/>
  <c r="C126" i="3"/>
  <c r="O3" i="2" s="1"/>
  <c r="C148" i="3"/>
  <c r="X3" i="2" s="1"/>
  <c r="F72" i="3"/>
  <c r="H67" i="3"/>
  <c r="D140" i="3"/>
  <c r="T15" i="2" s="1"/>
  <c r="C66" i="3"/>
  <c r="D66" i="3" s="1"/>
  <c r="E72" i="3"/>
  <c r="H70" i="3"/>
  <c r="G67" i="3"/>
  <c r="D130" i="3"/>
  <c r="P15" i="2" s="1"/>
  <c r="D144" i="3"/>
  <c r="V15" i="2" s="1"/>
  <c r="I68" i="3"/>
  <c r="D72" i="3"/>
  <c r="E71" i="3"/>
  <c r="F70" i="3"/>
  <c r="G69" i="3"/>
  <c r="H68" i="3"/>
  <c r="I67" i="3"/>
  <c r="C120" i="3"/>
  <c r="M8" i="2" s="1"/>
  <c r="E126" i="3"/>
  <c r="O27" i="2" s="1"/>
  <c r="G156" i="3"/>
  <c r="D136" i="3"/>
  <c r="R15" i="2" s="1"/>
  <c r="K72" i="3"/>
  <c r="E70" i="3"/>
  <c r="F69" i="3"/>
  <c r="G68" i="3"/>
  <c r="D120" i="3"/>
  <c r="M20" i="2" s="1"/>
  <c r="C130" i="3"/>
  <c r="P3" i="2" s="1"/>
  <c r="C136" i="3"/>
  <c r="R3" i="2" s="1"/>
  <c r="D138" i="3"/>
  <c r="S15" i="2" s="1"/>
  <c r="E69" i="3"/>
  <c r="F68" i="3"/>
  <c r="I72" i="3"/>
  <c r="J71" i="3"/>
  <c r="K70" i="3"/>
  <c r="D69" i="3"/>
  <c r="E68" i="3"/>
  <c r="F67" i="3"/>
  <c r="C124" i="3"/>
  <c r="N3" i="2" s="1"/>
  <c r="C140" i="3"/>
  <c r="T3" i="2" s="1"/>
  <c r="D142" i="3"/>
  <c r="U15" i="2" s="1"/>
  <c r="C70" i="3"/>
  <c r="H72" i="3"/>
  <c r="I71" i="3"/>
  <c r="J70" i="3"/>
  <c r="K69" i="3"/>
  <c r="D68" i="3"/>
  <c r="C116" i="3"/>
  <c r="D124" i="3"/>
  <c r="N15" i="2" s="1"/>
  <c r="C132" i="3"/>
  <c r="Q3" i="2" s="1"/>
  <c r="C142" i="3"/>
  <c r="U3" i="2" s="1"/>
  <c r="D146" i="3"/>
  <c r="W15" i="2" s="1"/>
  <c r="G72" i="3"/>
  <c r="I70" i="3"/>
  <c r="J69" i="3"/>
  <c r="K68" i="3"/>
  <c r="E124" i="3"/>
  <c r="N27" i="2" s="1"/>
  <c r="D132" i="3"/>
  <c r="Q15" i="2" s="1"/>
  <c r="C144" i="3"/>
  <c r="V3" i="2" s="1"/>
  <c r="I69" i="3"/>
  <c r="J68" i="3"/>
  <c r="L63" i="3"/>
  <c r="J63" i="3"/>
  <c r="I63" i="3"/>
  <c r="H63" i="3"/>
  <c r="K63" i="3"/>
  <c r="G63" i="3"/>
  <c r="F63" i="3"/>
  <c r="E63" i="3"/>
  <c r="D63" i="3"/>
  <c r="AC121" i="2"/>
  <c r="AC113" i="2"/>
  <c r="AC105" i="2"/>
  <c r="AC97" i="2"/>
  <c r="AC89" i="2"/>
  <c r="AC81" i="2"/>
  <c r="AC73" i="2"/>
  <c r="AC65" i="2"/>
  <c r="AC57" i="2"/>
  <c r="AC49" i="2"/>
  <c r="AC41" i="2"/>
  <c r="AC33" i="2"/>
  <c r="AC25" i="2"/>
  <c r="AC17" i="2"/>
  <c r="AC9" i="2"/>
  <c r="AC120" i="2"/>
  <c r="AC112" i="2"/>
  <c r="AC104" i="2"/>
  <c r="AC96" i="2"/>
  <c r="AC88" i="2"/>
  <c r="AC80" i="2"/>
  <c r="AC72" i="2"/>
  <c r="AC64" i="2"/>
  <c r="AC56" i="2"/>
  <c r="AC48" i="2"/>
  <c r="AC40" i="2"/>
  <c r="AC32" i="2"/>
  <c r="AC24" i="2"/>
  <c r="AC16" i="2"/>
  <c r="AC8" i="2"/>
  <c r="AC119" i="2"/>
  <c r="AC111" i="2"/>
  <c r="AC103" i="2"/>
  <c r="AC95" i="2"/>
  <c r="AC87" i="2"/>
  <c r="AC79" i="2"/>
  <c r="AC71" i="2"/>
  <c r="AC63" i="2"/>
  <c r="AC55" i="2"/>
  <c r="AC47" i="2"/>
  <c r="AC39" i="2"/>
  <c r="AC31" i="2"/>
  <c r="AC23" i="2"/>
  <c r="AC15" i="2"/>
  <c r="AC7" i="2"/>
  <c r="AC118" i="2"/>
  <c r="AC110" i="2"/>
  <c r="AC102" i="2"/>
  <c r="AC94" i="2"/>
  <c r="AC86" i="2"/>
  <c r="AC78" i="2"/>
  <c r="AC70" i="2"/>
  <c r="AC62" i="2"/>
  <c r="AC54" i="2"/>
  <c r="AC46" i="2"/>
  <c r="AC38" i="2"/>
  <c r="AC30" i="2"/>
  <c r="AC22" i="2"/>
  <c r="AC14" i="2"/>
  <c r="AC6" i="2"/>
  <c r="AC117" i="2"/>
  <c r="AC109" i="2"/>
  <c r="AC101" i="2"/>
  <c r="AC93" i="2"/>
  <c r="AC85" i="2"/>
  <c r="AC77" i="2"/>
  <c r="AC69" i="2"/>
  <c r="AC61" i="2"/>
  <c r="AC53" i="2"/>
  <c r="AC45" i="2"/>
  <c r="AC37" i="2"/>
  <c r="AC29" i="2"/>
  <c r="AC21" i="2"/>
  <c r="AC13" i="2"/>
  <c r="AC5" i="2"/>
  <c r="AC116" i="2"/>
  <c r="AC108" i="2"/>
  <c r="AC100" i="2"/>
  <c r="AC92" i="2"/>
  <c r="AC84" i="2"/>
  <c r="AC76" i="2"/>
  <c r="AC68" i="2"/>
  <c r="AC60" i="2"/>
  <c r="AC52" i="2"/>
  <c r="AC44" i="2"/>
  <c r="AC36" i="2"/>
  <c r="AC28" i="2"/>
  <c r="AC20" i="2"/>
  <c r="AC12" i="2"/>
  <c r="AC4" i="2"/>
  <c r="AC115" i="2"/>
  <c r="AC107" i="2"/>
  <c r="AC99" i="2"/>
  <c r="AC91" i="2"/>
  <c r="AC83" i="2"/>
  <c r="AC75" i="2"/>
  <c r="AC67" i="2"/>
  <c r="AC59" i="2"/>
  <c r="AC51" i="2"/>
  <c r="AC43" i="2"/>
  <c r="AC35" i="2"/>
  <c r="AC27" i="2"/>
  <c r="AC19" i="2"/>
  <c r="AC11" i="2"/>
  <c r="AC122" i="2"/>
  <c r="AC114" i="2"/>
  <c r="AC106" i="2"/>
  <c r="AC98" i="2"/>
  <c r="AC90" i="2"/>
  <c r="AC82" i="2"/>
  <c r="AC74" i="2"/>
  <c r="AC66" i="2"/>
  <c r="AC58" i="2"/>
  <c r="AC50" i="2"/>
  <c r="AC42" i="2"/>
  <c r="AC34" i="2"/>
  <c r="AC26" i="2"/>
  <c r="AC18" i="2"/>
  <c r="AC10" i="2"/>
  <c r="H79" i="3" l="1"/>
  <c r="H83" i="3" s="1"/>
  <c r="J79" i="3"/>
  <c r="J83" i="3" s="1"/>
  <c r="F79" i="3"/>
  <c r="F83" i="3" s="1"/>
  <c r="D79" i="3"/>
  <c r="D83" i="3" s="1"/>
  <c r="I79" i="3"/>
  <c r="I83" i="3" s="1"/>
  <c r="E79" i="3"/>
  <c r="E83" i="3" s="1"/>
  <c r="G79" i="3"/>
  <c r="G83" i="3" s="1"/>
  <c r="L73" i="3"/>
  <c r="C73" i="3"/>
  <c r="H73" i="3"/>
  <c r="C82" i="3"/>
  <c r="G73" i="3"/>
  <c r="K73" i="3"/>
  <c r="D73" i="3"/>
  <c r="J73" i="3"/>
  <c r="E73" i="3"/>
  <c r="I73" i="3"/>
  <c r="F73" i="3"/>
  <c r="L4" i="2"/>
  <c r="L5" i="2"/>
  <c r="L6" i="2"/>
  <c r="L7" i="2"/>
  <c r="L8" i="2"/>
  <c r="L9" i="2"/>
  <c r="L10" i="2"/>
  <c r="L11" i="2"/>
  <c r="L12" i="2"/>
  <c r="L13" i="2"/>
  <c r="L14" i="2"/>
  <c r="L16" i="2"/>
  <c r="L17" i="2"/>
  <c r="L18" i="2"/>
  <c r="L19" i="2"/>
  <c r="L20" i="2"/>
  <c r="L21" i="2"/>
  <c r="L22" i="2"/>
  <c r="L23" i="2"/>
  <c r="L24" i="2"/>
  <c r="L25" i="2"/>
  <c r="L26" i="2"/>
  <c r="L28" i="2"/>
  <c r="L29" i="2"/>
  <c r="L30" i="2"/>
  <c r="L31" i="2"/>
  <c r="L32" i="2"/>
  <c r="L33" i="2"/>
  <c r="L34" i="2"/>
  <c r="L35" i="2"/>
  <c r="L36" i="2"/>
  <c r="L37" i="2"/>
  <c r="L38" i="2"/>
  <c r="L40" i="2"/>
  <c r="L41" i="2"/>
  <c r="L42" i="2"/>
  <c r="L43" i="2"/>
  <c r="L44" i="2"/>
  <c r="L45" i="2"/>
  <c r="L46" i="2"/>
  <c r="L47" i="2"/>
  <c r="L48" i="2"/>
  <c r="L49" i="2"/>
  <c r="L50" i="2"/>
  <c r="L52" i="2"/>
  <c r="L53" i="2"/>
  <c r="L54" i="2"/>
  <c r="L55" i="2"/>
  <c r="L56" i="2"/>
  <c r="L57" i="2"/>
  <c r="L58" i="2"/>
  <c r="L59" i="2"/>
  <c r="L60" i="2"/>
  <c r="L61" i="2"/>
  <c r="L62" i="2"/>
  <c r="L64" i="2"/>
  <c r="L65" i="2"/>
  <c r="L66" i="2"/>
  <c r="L67" i="2"/>
  <c r="L68" i="2"/>
  <c r="L69" i="2"/>
  <c r="L70" i="2"/>
  <c r="L71" i="2"/>
  <c r="L72" i="2"/>
  <c r="L73" i="2"/>
  <c r="L74" i="2"/>
  <c r="L76" i="2"/>
  <c r="L77" i="2"/>
  <c r="L78" i="2"/>
  <c r="L79" i="2"/>
  <c r="L80" i="2"/>
  <c r="L81" i="2"/>
  <c r="L82" i="2"/>
  <c r="L83" i="2"/>
  <c r="L84" i="2"/>
  <c r="L85" i="2"/>
  <c r="L86" i="2"/>
  <c r="L88" i="2"/>
  <c r="L89" i="2"/>
  <c r="L90" i="2"/>
  <c r="L91" i="2"/>
  <c r="L92" i="2"/>
  <c r="L93" i="2"/>
  <c r="L94" i="2"/>
  <c r="L95" i="2"/>
  <c r="L96" i="2"/>
  <c r="L97" i="2"/>
  <c r="L98" i="2"/>
  <c r="L100" i="2"/>
  <c r="L101" i="2"/>
  <c r="L102" i="2"/>
  <c r="L103" i="2"/>
  <c r="L104" i="2"/>
  <c r="L105" i="2"/>
  <c r="L106" i="2"/>
  <c r="L107" i="2"/>
  <c r="L108" i="2"/>
  <c r="L109" i="2"/>
  <c r="L110" i="2"/>
  <c r="L112" i="2"/>
  <c r="L113" i="2"/>
  <c r="L114" i="2"/>
  <c r="L115" i="2"/>
  <c r="L116" i="2"/>
  <c r="L117" i="2"/>
  <c r="L118" i="2"/>
  <c r="L119" i="2"/>
  <c r="L120" i="2"/>
  <c r="L121" i="2"/>
  <c r="L122" i="2"/>
  <c r="K4" i="2"/>
  <c r="K5" i="2"/>
  <c r="K6" i="2"/>
  <c r="K7" i="2"/>
  <c r="K8" i="2"/>
  <c r="K9" i="2"/>
  <c r="K10" i="2"/>
  <c r="K11" i="2"/>
  <c r="K12" i="2"/>
  <c r="K13" i="2"/>
  <c r="K14" i="2"/>
  <c r="K16" i="2"/>
  <c r="K17" i="2"/>
  <c r="K18" i="2"/>
  <c r="K19" i="2"/>
  <c r="K20" i="2"/>
  <c r="K21" i="2"/>
  <c r="K22" i="2"/>
  <c r="K23" i="2"/>
  <c r="K24" i="2"/>
  <c r="K25" i="2"/>
  <c r="K26" i="2"/>
  <c r="K28" i="2"/>
  <c r="K29" i="2"/>
  <c r="K30" i="2"/>
  <c r="K31" i="2"/>
  <c r="K32" i="2"/>
  <c r="K33" i="2"/>
  <c r="K34" i="2"/>
  <c r="K35" i="2"/>
  <c r="K36" i="2"/>
  <c r="K37" i="2"/>
  <c r="K38" i="2"/>
  <c r="K40" i="2"/>
  <c r="K41" i="2"/>
  <c r="K42" i="2"/>
  <c r="K43" i="2"/>
  <c r="K44" i="2"/>
  <c r="K45" i="2"/>
  <c r="K46" i="2"/>
  <c r="K47" i="2"/>
  <c r="K48" i="2"/>
  <c r="K49" i="2"/>
  <c r="K50" i="2"/>
  <c r="K52" i="2"/>
  <c r="K53" i="2"/>
  <c r="K54" i="2"/>
  <c r="K55" i="2"/>
  <c r="K56" i="2"/>
  <c r="K57" i="2"/>
  <c r="K58" i="2"/>
  <c r="K59" i="2"/>
  <c r="K60" i="2"/>
  <c r="K61" i="2"/>
  <c r="K62" i="2"/>
  <c r="K64" i="2"/>
  <c r="K65" i="2"/>
  <c r="K66" i="2"/>
  <c r="K67" i="2"/>
  <c r="K68" i="2"/>
  <c r="K69" i="2"/>
  <c r="K70" i="2"/>
  <c r="K71" i="2"/>
  <c r="K72" i="2"/>
  <c r="K73" i="2"/>
  <c r="K74" i="2"/>
  <c r="K76" i="2"/>
  <c r="K77" i="2"/>
  <c r="K78" i="2"/>
  <c r="K79" i="2"/>
  <c r="K80" i="2"/>
  <c r="K81" i="2"/>
  <c r="K82" i="2"/>
  <c r="K83" i="2"/>
  <c r="K84" i="2"/>
  <c r="K85" i="2"/>
  <c r="K86" i="2"/>
  <c r="K88" i="2"/>
  <c r="K89" i="2"/>
  <c r="K90" i="2"/>
  <c r="K91" i="2"/>
  <c r="K92" i="2"/>
  <c r="K93" i="2"/>
  <c r="K94" i="2"/>
  <c r="K95" i="2"/>
  <c r="K96" i="2"/>
  <c r="K97" i="2"/>
  <c r="K98" i="2"/>
  <c r="K100" i="2"/>
  <c r="K101" i="2"/>
  <c r="K102" i="2"/>
  <c r="K103" i="2"/>
  <c r="K104" i="2"/>
  <c r="K105" i="2"/>
  <c r="K106" i="2"/>
  <c r="K107" i="2"/>
  <c r="K108" i="2"/>
  <c r="K109" i="2"/>
  <c r="K110" i="2"/>
  <c r="K112" i="2"/>
  <c r="K113" i="2"/>
  <c r="K114" i="2"/>
  <c r="K115" i="2"/>
  <c r="K116" i="2"/>
  <c r="K117" i="2"/>
  <c r="K118" i="2"/>
  <c r="K119" i="2"/>
  <c r="K120" i="2"/>
  <c r="K121" i="2"/>
  <c r="K122" i="2"/>
  <c r="G2" i="2"/>
  <c r="D2" i="2"/>
  <c r="L3" i="2"/>
  <c r="K3" i="2"/>
  <c r="D52" i="3"/>
  <c r="D53" i="3"/>
  <c r="D51" i="3"/>
  <c r="E51" i="3" s="1"/>
  <c r="F51" i="3" s="1"/>
  <c r="G51" i="3" s="1"/>
  <c r="H51" i="3" s="1"/>
  <c r="I51" i="3" s="1"/>
  <c r="J51" i="3" s="1"/>
  <c r="K51" i="3" s="1"/>
  <c r="L51" i="3" s="1"/>
  <c r="D111" i="3" l="1"/>
  <c r="D110" i="3"/>
  <c r="D116" i="3"/>
  <c r="D117" i="3"/>
  <c r="L15" i="2" s="1"/>
  <c r="Y119" i="2"/>
  <c r="Y110" i="2"/>
  <c r="Y102" i="2"/>
  <c r="Y93" i="2"/>
  <c r="Y84" i="2"/>
  <c r="Y76" i="2"/>
  <c r="Y67" i="2"/>
  <c r="Y58" i="2"/>
  <c r="Y49" i="2"/>
  <c r="Y41" i="2"/>
  <c r="Y32" i="2"/>
  <c r="Y23" i="2"/>
  <c r="Y14" i="2"/>
  <c r="Y6" i="2"/>
  <c r="Y83" i="2"/>
  <c r="Y74" i="2"/>
  <c r="Y66" i="2"/>
  <c r="Y118" i="2"/>
  <c r="Y109" i="2"/>
  <c r="Y101" i="2"/>
  <c r="Y57" i="2"/>
  <c r="Y48" i="2"/>
  <c r="Y40" i="2"/>
  <c r="Y31" i="2"/>
  <c r="Y22" i="2"/>
  <c r="Y13" i="2"/>
  <c r="Y5" i="2"/>
  <c r="Y122" i="2"/>
  <c r="Y114" i="2"/>
  <c r="Y105" i="2"/>
  <c r="Y96" i="2"/>
  <c r="Y88" i="2"/>
  <c r="Y79" i="2"/>
  <c r="Y70" i="2"/>
  <c r="Y61" i="2"/>
  <c r="Y53" i="2"/>
  <c r="Y35" i="2"/>
  <c r="Y26" i="2"/>
  <c r="Y18" i="2"/>
  <c r="Y9" i="2"/>
  <c r="Y115" i="2"/>
  <c r="Y106" i="2"/>
  <c r="Y97" i="2"/>
  <c r="Y89" i="2"/>
  <c r="Y71" i="2"/>
  <c r="Y62" i="2"/>
  <c r="Y54" i="2"/>
  <c r="Y45" i="2"/>
  <c r="Y36" i="2"/>
  <c r="Y28" i="2"/>
  <c r="Y19" i="2"/>
  <c r="Y10" i="2"/>
  <c r="Y121" i="2"/>
  <c r="Y78" i="2"/>
  <c r="Y112" i="2"/>
  <c r="Y85" i="2"/>
  <c r="Y117" i="2"/>
  <c r="Y108" i="2"/>
  <c r="Y100" i="2"/>
  <c r="Y91" i="2"/>
  <c r="Y82" i="2"/>
  <c r="Y73" i="2"/>
  <c r="Y65" i="2"/>
  <c r="Y47" i="2"/>
  <c r="Y38" i="2"/>
  <c r="Y30" i="2"/>
  <c r="Y21" i="2"/>
  <c r="Y12" i="2"/>
  <c r="Y4" i="2"/>
  <c r="Y113" i="2"/>
  <c r="Y69" i="2"/>
  <c r="Y120" i="2"/>
  <c r="Y94" i="2"/>
  <c r="Y107" i="2"/>
  <c r="Y98" i="2"/>
  <c r="Y90" i="2"/>
  <c r="Y81" i="2"/>
  <c r="Y72" i="2"/>
  <c r="Y64" i="2"/>
  <c r="Y55" i="2"/>
  <c r="Y46" i="2"/>
  <c r="Y37" i="2"/>
  <c r="Y29" i="2"/>
  <c r="Y20" i="2"/>
  <c r="Y11" i="2"/>
  <c r="Y95" i="2"/>
  <c r="Y60" i="2"/>
  <c r="Y52" i="2"/>
  <c r="Y43" i="2"/>
  <c r="Y34" i="2"/>
  <c r="Y25" i="2"/>
  <c r="Y17" i="2"/>
  <c r="Y8" i="2"/>
  <c r="Y103" i="2"/>
  <c r="Y77" i="2"/>
  <c r="Y59" i="2"/>
  <c r="Y50" i="2"/>
  <c r="Y42" i="2"/>
  <c r="Y33" i="2"/>
  <c r="Y24" i="2"/>
  <c r="Y16" i="2"/>
  <c r="Y7" i="2"/>
  <c r="Y86" i="2"/>
  <c r="Y3" i="2"/>
  <c r="E53" i="3"/>
  <c r="K15" i="2"/>
  <c r="E52" i="3"/>
  <c r="E117" i="3" l="1"/>
  <c r="L27" i="2" s="1"/>
  <c r="E116" i="3"/>
  <c r="E111" i="3"/>
  <c r="E110" i="3"/>
  <c r="Y15" i="2"/>
  <c r="F53" i="3"/>
  <c r="F52" i="3"/>
  <c r="K27" i="2"/>
  <c r="F117" i="3" l="1"/>
  <c r="L39" i="2" s="1"/>
  <c r="F116" i="3"/>
  <c r="K39" i="2" s="1"/>
  <c r="F111" i="3"/>
  <c r="F110" i="3"/>
  <c r="Y27" i="2"/>
  <c r="F120" i="3"/>
  <c r="M44" i="2" s="1"/>
  <c r="Y44" i="2" s="1"/>
  <c r="F124" i="3"/>
  <c r="N39" i="2" s="1"/>
  <c r="F126" i="3"/>
  <c r="O39" i="2" s="1"/>
  <c r="G53" i="3"/>
  <c r="G52" i="3"/>
  <c r="E66" i="3"/>
  <c r="F66" i="3" s="1"/>
  <c r="G66" i="3" s="1"/>
  <c r="H66" i="3" s="1"/>
  <c r="I66" i="3" s="1"/>
  <c r="J66" i="3" s="1"/>
  <c r="K66" i="3" s="1"/>
  <c r="L66" i="3" s="1"/>
  <c r="L82" i="3" s="1"/>
  <c r="C78" i="3"/>
  <c r="D21" i="3"/>
  <c r="C21" i="3"/>
  <c r="E20" i="3"/>
  <c r="G110" i="3" l="1"/>
  <c r="H58" i="2" s="1"/>
  <c r="G111" i="3"/>
  <c r="I53" i="2" s="1"/>
  <c r="G117" i="3"/>
  <c r="L51" i="2" s="1"/>
  <c r="G116" i="3"/>
  <c r="K51" i="2" s="1"/>
  <c r="B5" i="2"/>
  <c r="D56" i="3"/>
  <c r="F20" i="3"/>
  <c r="F21" i="3" s="1"/>
  <c r="K38" i="3"/>
  <c r="Y39" i="2"/>
  <c r="G124" i="3"/>
  <c r="N51" i="2" s="1"/>
  <c r="G126" i="3"/>
  <c r="O51" i="2" s="1"/>
  <c r="G120" i="3"/>
  <c r="M56" i="2" s="1"/>
  <c r="Y56" i="2" s="1"/>
  <c r="H53" i="3"/>
  <c r="E7" i="2"/>
  <c r="E14" i="2"/>
  <c r="E6" i="2"/>
  <c r="E13" i="2"/>
  <c r="E5" i="2"/>
  <c r="E12" i="2"/>
  <c r="E4" i="2"/>
  <c r="E11" i="2"/>
  <c r="E3" i="2"/>
  <c r="E10" i="2"/>
  <c r="E9" i="2"/>
  <c r="E8" i="2"/>
  <c r="I26" i="2"/>
  <c r="I18" i="2"/>
  <c r="I25" i="2"/>
  <c r="I17" i="2"/>
  <c r="I24" i="2"/>
  <c r="I16" i="2"/>
  <c r="I23" i="2"/>
  <c r="I15" i="2"/>
  <c r="I22" i="2"/>
  <c r="I21" i="2"/>
  <c r="I20" i="2"/>
  <c r="I19" i="2"/>
  <c r="E122" i="2"/>
  <c r="E114" i="2"/>
  <c r="E121" i="2"/>
  <c r="E113" i="2"/>
  <c r="E120" i="2"/>
  <c r="E112" i="2"/>
  <c r="E119" i="2"/>
  <c r="E111" i="2"/>
  <c r="E118" i="2"/>
  <c r="E117" i="2"/>
  <c r="E116" i="2"/>
  <c r="E115" i="2"/>
  <c r="I50" i="2"/>
  <c r="I42" i="2"/>
  <c r="I49" i="2"/>
  <c r="I41" i="2"/>
  <c r="I48" i="2"/>
  <c r="I40" i="2"/>
  <c r="I47" i="2"/>
  <c r="I39" i="2"/>
  <c r="I46" i="2"/>
  <c r="I45" i="2"/>
  <c r="I44" i="2"/>
  <c r="I43" i="2"/>
  <c r="H10" i="2"/>
  <c r="H9" i="2"/>
  <c r="H8" i="2"/>
  <c r="H7" i="2"/>
  <c r="H14" i="2"/>
  <c r="H6" i="2"/>
  <c r="H13" i="2"/>
  <c r="H5" i="2"/>
  <c r="H12" i="2"/>
  <c r="H4" i="2"/>
  <c r="H11" i="2"/>
  <c r="H3" i="2"/>
  <c r="J2" i="2" s="1"/>
  <c r="I10" i="2"/>
  <c r="I9" i="2"/>
  <c r="I8" i="2"/>
  <c r="I7" i="2"/>
  <c r="I14" i="2"/>
  <c r="I6" i="2"/>
  <c r="I13" i="2"/>
  <c r="I5" i="2"/>
  <c r="I12" i="2"/>
  <c r="I4" i="2"/>
  <c r="I11" i="2"/>
  <c r="I3" i="2"/>
  <c r="I34" i="2"/>
  <c r="I33" i="2"/>
  <c r="I32" i="2"/>
  <c r="I31" i="2"/>
  <c r="I38" i="2"/>
  <c r="I30" i="2"/>
  <c r="I37" i="2"/>
  <c r="I29" i="2"/>
  <c r="I36" i="2"/>
  <c r="I28" i="2"/>
  <c r="I35" i="2"/>
  <c r="I27" i="2"/>
  <c r="H50" i="2"/>
  <c r="H42" i="2"/>
  <c r="H49" i="2"/>
  <c r="H41" i="2"/>
  <c r="H48" i="2"/>
  <c r="H40" i="2"/>
  <c r="H47" i="2"/>
  <c r="H39" i="2"/>
  <c r="H46" i="2"/>
  <c r="H45" i="2"/>
  <c r="H44" i="2"/>
  <c r="H43" i="2"/>
  <c r="H34" i="2"/>
  <c r="H33" i="2"/>
  <c r="H32" i="2"/>
  <c r="H31" i="2"/>
  <c r="H38" i="2"/>
  <c r="J38" i="2" s="1"/>
  <c r="H30" i="2"/>
  <c r="H37" i="2"/>
  <c r="H29" i="2"/>
  <c r="H36" i="2"/>
  <c r="H28" i="2"/>
  <c r="H35" i="2"/>
  <c r="H27" i="2"/>
  <c r="H26" i="2"/>
  <c r="H18" i="2"/>
  <c r="H25" i="2"/>
  <c r="H17" i="2"/>
  <c r="H24" i="2"/>
  <c r="H16" i="2"/>
  <c r="H23" i="2"/>
  <c r="H15" i="2"/>
  <c r="H22" i="2"/>
  <c r="H21" i="2"/>
  <c r="H20" i="2"/>
  <c r="H19" i="2"/>
  <c r="H52" i="3"/>
  <c r="H82" i="3"/>
  <c r="G82" i="3"/>
  <c r="E82" i="3"/>
  <c r="D82" i="3"/>
  <c r="F82" i="3"/>
  <c r="K82" i="3"/>
  <c r="I82" i="3"/>
  <c r="J82" i="3"/>
  <c r="D112" i="3"/>
  <c r="C112" i="3"/>
  <c r="F112" i="3"/>
  <c r="E112" i="3"/>
  <c r="B10" i="2"/>
  <c r="B9" i="2"/>
  <c r="B4" i="2"/>
  <c r="B12" i="2"/>
  <c r="B14" i="2"/>
  <c r="B6" i="2"/>
  <c r="E21" i="3"/>
  <c r="J36" i="2" l="1"/>
  <c r="J32" i="2"/>
  <c r="K39" i="3"/>
  <c r="K43" i="3" s="1"/>
  <c r="K79" i="3" s="1"/>
  <c r="K83" i="3" s="1"/>
  <c r="J33" i="2"/>
  <c r="J30" i="2"/>
  <c r="H117" i="3"/>
  <c r="L63" i="2" s="1"/>
  <c r="H116" i="3"/>
  <c r="K63" i="2" s="1"/>
  <c r="H110" i="3"/>
  <c r="H111" i="3"/>
  <c r="J29" i="2"/>
  <c r="J34" i="2"/>
  <c r="J15" i="2"/>
  <c r="J27" i="2"/>
  <c r="J39" i="2"/>
  <c r="E56" i="3"/>
  <c r="D78" i="3"/>
  <c r="B8" i="2"/>
  <c r="B7" i="2"/>
  <c r="B11" i="2"/>
  <c r="B13" i="2"/>
  <c r="B3" i="2"/>
  <c r="J37" i="2"/>
  <c r="H61" i="2"/>
  <c r="G20" i="3"/>
  <c r="L38" i="3"/>
  <c r="J28" i="2"/>
  <c r="H54" i="2"/>
  <c r="H52" i="2"/>
  <c r="H53" i="2"/>
  <c r="J53" i="2" s="1"/>
  <c r="J16" i="2"/>
  <c r="H62" i="2"/>
  <c r="I61" i="2"/>
  <c r="H55" i="2"/>
  <c r="I54" i="2"/>
  <c r="H51" i="2"/>
  <c r="H56" i="2"/>
  <c r="H59" i="2"/>
  <c r="H57" i="2"/>
  <c r="I62" i="2"/>
  <c r="I59" i="2"/>
  <c r="I55" i="2"/>
  <c r="Y51" i="2"/>
  <c r="I51" i="2"/>
  <c r="I56" i="2"/>
  <c r="G112" i="3"/>
  <c r="I52" i="2"/>
  <c r="I57" i="2"/>
  <c r="H60" i="2"/>
  <c r="I60" i="2"/>
  <c r="I58" i="2"/>
  <c r="J58" i="2" s="1"/>
  <c r="H126" i="3"/>
  <c r="O63" i="2" s="1"/>
  <c r="H120" i="3"/>
  <c r="M68" i="2" s="1"/>
  <c r="Y68" i="2" s="1"/>
  <c r="I53" i="3"/>
  <c r="J23" i="2"/>
  <c r="J47" i="2"/>
  <c r="J35" i="2"/>
  <c r="J40" i="2"/>
  <c r="J3" i="2"/>
  <c r="J7" i="2"/>
  <c r="J24" i="2"/>
  <c r="J48" i="2"/>
  <c r="J12" i="2"/>
  <c r="J10" i="2"/>
  <c r="J4" i="2"/>
  <c r="J9" i="2"/>
  <c r="J31" i="2"/>
  <c r="J22" i="2"/>
  <c r="J26" i="2"/>
  <c r="J46" i="2"/>
  <c r="J20" i="2"/>
  <c r="J25" i="2"/>
  <c r="J44" i="2"/>
  <c r="J49" i="2"/>
  <c r="F82" i="2"/>
  <c r="F81" i="2"/>
  <c r="F80" i="2"/>
  <c r="F79" i="2"/>
  <c r="F86" i="2"/>
  <c r="F78" i="2"/>
  <c r="F85" i="2"/>
  <c r="F77" i="2"/>
  <c r="F84" i="2"/>
  <c r="F76" i="2"/>
  <c r="F83" i="2"/>
  <c r="F75" i="2"/>
  <c r="F74" i="2"/>
  <c r="F66" i="2"/>
  <c r="F73" i="2"/>
  <c r="F65" i="2"/>
  <c r="F72" i="2"/>
  <c r="F64" i="2"/>
  <c r="F71" i="2"/>
  <c r="F63" i="2"/>
  <c r="F70" i="2"/>
  <c r="F69" i="2"/>
  <c r="F68" i="2"/>
  <c r="F67" i="2"/>
  <c r="E23" i="2"/>
  <c r="E15" i="2"/>
  <c r="E22" i="2"/>
  <c r="E21" i="2"/>
  <c r="E20" i="2"/>
  <c r="E19" i="2"/>
  <c r="E26" i="2"/>
  <c r="E18" i="2"/>
  <c r="E25" i="2"/>
  <c r="E17" i="2"/>
  <c r="E24" i="2"/>
  <c r="E16" i="2"/>
  <c r="E55" i="2"/>
  <c r="E62" i="2"/>
  <c r="E54" i="2"/>
  <c r="E61" i="2"/>
  <c r="E53" i="2"/>
  <c r="E60" i="2"/>
  <c r="E52" i="2"/>
  <c r="E59" i="2"/>
  <c r="E51" i="2"/>
  <c r="E58" i="2"/>
  <c r="E57" i="2"/>
  <c r="E56" i="2"/>
  <c r="J11" i="2"/>
  <c r="J8" i="2"/>
  <c r="F50" i="2"/>
  <c r="F42" i="2"/>
  <c r="F49" i="2"/>
  <c r="F41" i="2"/>
  <c r="F48" i="2"/>
  <c r="F40" i="2"/>
  <c r="F47" i="2"/>
  <c r="F39" i="2"/>
  <c r="F46" i="2"/>
  <c r="F45" i="2"/>
  <c r="F44" i="2"/>
  <c r="F43" i="2"/>
  <c r="F34" i="2"/>
  <c r="F33" i="2"/>
  <c r="F32" i="2"/>
  <c r="F31" i="2"/>
  <c r="F38" i="2"/>
  <c r="F30" i="2"/>
  <c r="F37" i="2"/>
  <c r="F29" i="2"/>
  <c r="F36" i="2"/>
  <c r="F28" i="2"/>
  <c r="F27" i="2"/>
  <c r="F35" i="2"/>
  <c r="J19" i="2"/>
  <c r="J17" i="2"/>
  <c r="J43" i="2"/>
  <c r="J41" i="2"/>
  <c r="J5" i="2"/>
  <c r="E79" i="2"/>
  <c r="E86" i="2"/>
  <c r="E78" i="2"/>
  <c r="E85" i="2"/>
  <c r="E77" i="2"/>
  <c r="E84" i="2"/>
  <c r="E76" i="2"/>
  <c r="E83" i="2"/>
  <c r="E75" i="2"/>
  <c r="E82" i="2"/>
  <c r="E81" i="2"/>
  <c r="E80" i="2"/>
  <c r="E31" i="2"/>
  <c r="E38" i="2"/>
  <c r="E30" i="2"/>
  <c r="E37" i="2"/>
  <c r="E29" i="2"/>
  <c r="E36" i="2"/>
  <c r="E28" i="2"/>
  <c r="E35" i="2"/>
  <c r="E27" i="2"/>
  <c r="E34" i="2"/>
  <c r="E33" i="2"/>
  <c r="E32" i="2"/>
  <c r="F26" i="2"/>
  <c r="F18" i="2"/>
  <c r="F25" i="2"/>
  <c r="F17" i="2"/>
  <c r="F24" i="2"/>
  <c r="F16" i="2"/>
  <c r="F23" i="2"/>
  <c r="F15" i="2"/>
  <c r="F22" i="2"/>
  <c r="F21" i="2"/>
  <c r="F20" i="2"/>
  <c r="F19" i="2"/>
  <c r="J13" i="2"/>
  <c r="E71" i="2"/>
  <c r="E63" i="2"/>
  <c r="E70" i="2"/>
  <c r="E69" i="2"/>
  <c r="E68" i="2"/>
  <c r="E67" i="2"/>
  <c r="E74" i="2"/>
  <c r="E66" i="2"/>
  <c r="E73" i="2"/>
  <c r="E65" i="2"/>
  <c r="E64" i="2"/>
  <c r="E72" i="2"/>
  <c r="E110" i="2"/>
  <c r="E109" i="2"/>
  <c r="E108" i="2"/>
  <c r="E100" i="2"/>
  <c r="E104" i="2"/>
  <c r="E103" i="2"/>
  <c r="E102" i="2"/>
  <c r="E101" i="2"/>
  <c r="E99" i="2"/>
  <c r="E107" i="2"/>
  <c r="E106" i="2"/>
  <c r="E105" i="2"/>
  <c r="J21" i="2"/>
  <c r="J18" i="2"/>
  <c r="J45" i="2"/>
  <c r="J42" i="2"/>
  <c r="J6" i="2"/>
  <c r="E95" i="2"/>
  <c r="E87" i="2"/>
  <c r="E94" i="2"/>
  <c r="E93" i="2"/>
  <c r="E92" i="2"/>
  <c r="E91" i="2"/>
  <c r="E98" i="2"/>
  <c r="E90" i="2"/>
  <c r="E97" i="2"/>
  <c r="E89" i="2"/>
  <c r="E96" i="2"/>
  <c r="E88" i="2"/>
  <c r="F58" i="2"/>
  <c r="F57" i="2"/>
  <c r="F56" i="2"/>
  <c r="F55" i="2"/>
  <c r="F62" i="2"/>
  <c r="F54" i="2"/>
  <c r="F61" i="2"/>
  <c r="F53" i="2"/>
  <c r="F60" i="2"/>
  <c r="F52" i="2"/>
  <c r="F59" i="2"/>
  <c r="F51" i="2"/>
  <c r="E47" i="2"/>
  <c r="E39" i="2"/>
  <c r="E46" i="2"/>
  <c r="E45" i="2"/>
  <c r="E44" i="2"/>
  <c r="E43" i="2"/>
  <c r="E50" i="2"/>
  <c r="E42" i="2"/>
  <c r="E49" i="2"/>
  <c r="E41" i="2"/>
  <c r="E48" i="2"/>
  <c r="E40" i="2"/>
  <c r="F10" i="2"/>
  <c r="G10" i="2" s="1"/>
  <c r="F9" i="2"/>
  <c r="G9" i="2" s="1"/>
  <c r="F8" i="2"/>
  <c r="G8" i="2" s="1"/>
  <c r="F7" i="2"/>
  <c r="G7" i="2" s="1"/>
  <c r="F14" i="2"/>
  <c r="G14" i="2" s="1"/>
  <c r="F6" i="2"/>
  <c r="G6" i="2" s="1"/>
  <c r="F13" i="2"/>
  <c r="G13" i="2" s="1"/>
  <c r="F5" i="2"/>
  <c r="G5" i="2" s="1"/>
  <c r="F12" i="2"/>
  <c r="G12" i="2" s="1"/>
  <c r="F4" i="2"/>
  <c r="G4" i="2" s="1"/>
  <c r="F11" i="2"/>
  <c r="G11" i="2" s="1"/>
  <c r="F3" i="2"/>
  <c r="G3" i="2" s="1"/>
  <c r="F98" i="2"/>
  <c r="F90" i="2"/>
  <c r="F97" i="2"/>
  <c r="F89" i="2"/>
  <c r="F96" i="2"/>
  <c r="F88" i="2"/>
  <c r="F95" i="2"/>
  <c r="F87" i="2"/>
  <c r="F94" i="2"/>
  <c r="F93" i="2"/>
  <c r="F92" i="2"/>
  <c r="F91" i="2"/>
  <c r="J50" i="2"/>
  <c r="J14" i="2"/>
  <c r="I52" i="3"/>
  <c r="C14" i="2"/>
  <c r="C6" i="2"/>
  <c r="C13" i="2"/>
  <c r="C5" i="2"/>
  <c r="C12" i="2"/>
  <c r="C4" i="2"/>
  <c r="C8" i="2"/>
  <c r="C7" i="2"/>
  <c r="C3" i="2"/>
  <c r="C11" i="2"/>
  <c r="C9" i="2"/>
  <c r="C10" i="2"/>
  <c r="F109" i="2" l="1"/>
  <c r="F101" i="2"/>
  <c r="G101" i="2" s="1"/>
  <c r="F106" i="2"/>
  <c r="G106" i="2" s="1"/>
  <c r="F108" i="2"/>
  <c r="G108" i="2" s="1"/>
  <c r="F105" i="2"/>
  <c r="F100" i="2"/>
  <c r="G100" i="2" s="1"/>
  <c r="F104" i="2"/>
  <c r="G104" i="2" s="1"/>
  <c r="F107" i="2"/>
  <c r="G107" i="2" s="1"/>
  <c r="F103" i="2"/>
  <c r="F99" i="2"/>
  <c r="G99" i="2" s="1"/>
  <c r="F110" i="2"/>
  <c r="G110" i="2" s="1"/>
  <c r="F102" i="2"/>
  <c r="L39" i="3"/>
  <c r="L43" i="3" s="1"/>
  <c r="L79" i="3" s="1"/>
  <c r="L83" i="3" s="1"/>
  <c r="I111" i="3"/>
  <c r="I110" i="3"/>
  <c r="I117" i="3"/>
  <c r="L75" i="2" s="1"/>
  <c r="I116" i="3"/>
  <c r="K75" i="2" s="1"/>
  <c r="F56" i="3"/>
  <c r="E78" i="3"/>
  <c r="J56" i="2"/>
  <c r="J51" i="2"/>
  <c r="J52" i="2"/>
  <c r="J57" i="2"/>
  <c r="J61" i="2"/>
  <c r="H20" i="3"/>
  <c r="G21" i="3"/>
  <c r="J59" i="2"/>
  <c r="J54" i="2"/>
  <c r="J55" i="2"/>
  <c r="J60" i="2"/>
  <c r="D9" i="2"/>
  <c r="AE9" i="2" s="1"/>
  <c r="Y63" i="2"/>
  <c r="D3" i="2"/>
  <c r="D13" i="2"/>
  <c r="AE13" i="2" s="1"/>
  <c r="I126" i="3"/>
  <c r="O75" i="2" s="1"/>
  <c r="I120" i="3"/>
  <c r="M80" i="2" s="1"/>
  <c r="Y80" i="2" s="1"/>
  <c r="J53" i="3"/>
  <c r="I74" i="2"/>
  <c r="I70" i="2"/>
  <c r="I66" i="2"/>
  <c r="I69" i="2"/>
  <c r="I73" i="2"/>
  <c r="I68" i="2"/>
  <c r="I65" i="2"/>
  <c r="I67" i="2"/>
  <c r="I64" i="2"/>
  <c r="I72" i="2"/>
  <c r="I71" i="2"/>
  <c r="I63" i="2"/>
  <c r="H74" i="2"/>
  <c r="H70" i="2"/>
  <c r="H66" i="2"/>
  <c r="H69" i="2"/>
  <c r="H73" i="2"/>
  <c r="H68" i="2"/>
  <c r="H65" i="2"/>
  <c r="H67" i="2"/>
  <c r="H112" i="3"/>
  <c r="H64" i="2"/>
  <c r="H72" i="2"/>
  <c r="H71" i="2"/>
  <c r="H63" i="2"/>
  <c r="J62" i="2" s="1"/>
  <c r="D10" i="2"/>
  <c r="AE10" i="2" s="1"/>
  <c r="D8" i="2"/>
  <c r="AE8" i="2" s="1"/>
  <c r="G67" i="2"/>
  <c r="G103" i="2"/>
  <c r="G70" i="2"/>
  <c r="G63" i="2"/>
  <c r="G92" i="2"/>
  <c r="G74" i="2"/>
  <c r="D7" i="2"/>
  <c r="AE7" i="2" s="1"/>
  <c r="G37" i="2"/>
  <c r="G97" i="2"/>
  <c r="G102" i="2"/>
  <c r="D4" i="2"/>
  <c r="AE4" i="2" s="1"/>
  <c r="G64" i="2"/>
  <c r="G83" i="2"/>
  <c r="G33" i="2"/>
  <c r="G52" i="2"/>
  <c r="G22" i="2"/>
  <c r="G88" i="2"/>
  <c r="G93" i="2"/>
  <c r="G80" i="2"/>
  <c r="G15" i="2"/>
  <c r="D12" i="2"/>
  <c r="AE12" i="2" s="1"/>
  <c r="G96" i="2"/>
  <c r="G94" i="2"/>
  <c r="G28" i="2"/>
  <c r="G81" i="2"/>
  <c r="G78" i="2"/>
  <c r="D11" i="2"/>
  <c r="AE11" i="2" s="1"/>
  <c r="G36" i="2"/>
  <c r="G82" i="2"/>
  <c r="G86" i="2"/>
  <c r="G68" i="2"/>
  <c r="G60" i="2"/>
  <c r="G91" i="2"/>
  <c r="G109" i="2"/>
  <c r="G66" i="2"/>
  <c r="G27" i="2"/>
  <c r="G31" i="2"/>
  <c r="G77" i="2"/>
  <c r="D14" i="2"/>
  <c r="AE14" i="2" s="1"/>
  <c r="G51" i="2"/>
  <c r="G55" i="2"/>
  <c r="G20" i="2"/>
  <c r="G35" i="2"/>
  <c r="G85" i="2"/>
  <c r="G59" i="2"/>
  <c r="G16" i="2"/>
  <c r="G21" i="2"/>
  <c r="G17" i="2"/>
  <c r="G89" i="2"/>
  <c r="G87" i="2"/>
  <c r="G72" i="2"/>
  <c r="G69" i="2"/>
  <c r="G29" i="2"/>
  <c r="G75" i="2"/>
  <c r="G79" i="2"/>
  <c r="G53" i="2"/>
  <c r="G25" i="2"/>
  <c r="G23" i="2"/>
  <c r="G32" i="2"/>
  <c r="D5" i="2"/>
  <c r="AE5" i="2" s="1"/>
  <c r="G56" i="2"/>
  <c r="G61" i="2"/>
  <c r="G18" i="2"/>
  <c r="G50" i="2"/>
  <c r="G42" i="2"/>
  <c r="G49" i="2"/>
  <c r="G41" i="2"/>
  <c r="G48" i="2"/>
  <c r="G40" i="2"/>
  <c r="G47" i="2"/>
  <c r="G39" i="2"/>
  <c r="G46" i="2"/>
  <c r="G45" i="2"/>
  <c r="G44" i="2"/>
  <c r="G43" i="2"/>
  <c r="G24" i="2"/>
  <c r="G90" i="2"/>
  <c r="G105" i="2"/>
  <c r="G65" i="2"/>
  <c r="G30" i="2"/>
  <c r="G76" i="2"/>
  <c r="G57" i="2"/>
  <c r="G54" i="2"/>
  <c r="G26" i="2"/>
  <c r="G95" i="2"/>
  <c r="G98" i="2"/>
  <c r="G73" i="2"/>
  <c r="G71" i="2"/>
  <c r="G34" i="2"/>
  <c r="G38" i="2"/>
  <c r="G84" i="2"/>
  <c r="D6" i="2"/>
  <c r="AE6" i="2" s="1"/>
  <c r="G58" i="2"/>
  <c r="G62" i="2"/>
  <c r="G19" i="2"/>
  <c r="J52" i="3"/>
  <c r="C22" i="2"/>
  <c r="C21" i="2"/>
  <c r="C20" i="2"/>
  <c r="C19" i="2"/>
  <c r="C18" i="2"/>
  <c r="C17" i="2"/>
  <c r="C16" i="2"/>
  <c r="C26" i="2"/>
  <c r="C25" i="2"/>
  <c r="C15" i="2"/>
  <c r="C24" i="2"/>
  <c r="C23" i="2"/>
  <c r="B20" i="2"/>
  <c r="B22" i="2"/>
  <c r="B21" i="2"/>
  <c r="B17" i="2"/>
  <c r="B18" i="2"/>
  <c r="B16" i="2"/>
  <c r="B19" i="2"/>
  <c r="B25" i="2"/>
  <c r="B23" i="2"/>
  <c r="B24" i="2"/>
  <c r="B15" i="2"/>
  <c r="B26" i="2"/>
  <c r="F121" i="2" l="1"/>
  <c r="G121" i="2" s="1"/>
  <c r="F115" i="2"/>
  <c r="G115" i="2" s="1"/>
  <c r="F113" i="2"/>
  <c r="G113" i="2" s="1"/>
  <c r="F122" i="2"/>
  <c r="G122" i="2" s="1"/>
  <c r="F116" i="2"/>
  <c r="G116" i="2" s="1"/>
  <c r="F117" i="2"/>
  <c r="G117" i="2" s="1"/>
  <c r="F114" i="2"/>
  <c r="G114" i="2" s="1"/>
  <c r="F120" i="2"/>
  <c r="G120" i="2" s="1"/>
  <c r="F119" i="2"/>
  <c r="G119" i="2" s="1"/>
  <c r="F111" i="2"/>
  <c r="G111" i="2" s="1"/>
  <c r="F118" i="2"/>
  <c r="G118" i="2" s="1"/>
  <c r="F112" i="2"/>
  <c r="G112" i="2" s="1"/>
  <c r="J111" i="3"/>
  <c r="J110" i="3"/>
  <c r="J117" i="3"/>
  <c r="L87" i="2" s="1"/>
  <c r="J116" i="3"/>
  <c r="K87" i="2" s="1"/>
  <c r="G56" i="3"/>
  <c r="F78" i="3"/>
  <c r="I20" i="3"/>
  <c r="H21" i="3"/>
  <c r="J74" i="2"/>
  <c r="J72" i="2"/>
  <c r="Y75" i="2"/>
  <c r="AE3" i="2"/>
  <c r="AF3" i="2" s="1"/>
  <c r="AF4" i="2" s="1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J66" i="2"/>
  <c r="J64" i="2"/>
  <c r="J70" i="2"/>
  <c r="J63" i="2"/>
  <c r="J71" i="2"/>
  <c r="J69" i="2"/>
  <c r="H86" i="2"/>
  <c r="H78" i="2"/>
  <c r="H85" i="2"/>
  <c r="I112" i="3"/>
  <c r="H77" i="2"/>
  <c r="H81" i="2"/>
  <c r="H82" i="2"/>
  <c r="H84" i="2"/>
  <c r="H76" i="2"/>
  <c r="H80" i="2"/>
  <c r="H83" i="2"/>
  <c r="H79" i="2"/>
  <c r="H75" i="2"/>
  <c r="J73" i="2"/>
  <c r="J126" i="3"/>
  <c r="O87" i="2" s="1"/>
  <c r="J120" i="3"/>
  <c r="M92" i="2" s="1"/>
  <c r="Y92" i="2" s="1"/>
  <c r="K53" i="3"/>
  <c r="J68" i="2"/>
  <c r="J67" i="2"/>
  <c r="I82" i="2"/>
  <c r="I84" i="2"/>
  <c r="I81" i="2"/>
  <c r="I76" i="2"/>
  <c r="I80" i="2"/>
  <c r="I83" i="2"/>
  <c r="I79" i="2"/>
  <c r="I75" i="2"/>
  <c r="I86" i="2"/>
  <c r="I78" i="2"/>
  <c r="I85" i="2"/>
  <c r="I77" i="2"/>
  <c r="J65" i="2"/>
  <c r="D25" i="2"/>
  <c r="AE25" i="2" s="1"/>
  <c r="D26" i="2"/>
  <c r="AE26" i="2" s="1"/>
  <c r="D17" i="2"/>
  <c r="AE17" i="2" s="1"/>
  <c r="D18" i="2"/>
  <c r="AE18" i="2" s="1"/>
  <c r="D16" i="2"/>
  <c r="AE16" i="2" s="1"/>
  <c r="D19" i="2"/>
  <c r="AE19" i="2" s="1"/>
  <c r="D21" i="2"/>
  <c r="AE21" i="2" s="1"/>
  <c r="D22" i="2"/>
  <c r="AE22" i="2" s="1"/>
  <c r="D15" i="2"/>
  <c r="AE15" i="2" s="1"/>
  <c r="D24" i="2"/>
  <c r="AE24" i="2" s="1"/>
  <c r="D23" i="2"/>
  <c r="AE23" i="2" s="1"/>
  <c r="D20" i="2"/>
  <c r="AE20" i="2" s="1"/>
  <c r="K52" i="3"/>
  <c r="C38" i="2"/>
  <c r="C30" i="2"/>
  <c r="C37" i="2"/>
  <c r="C29" i="2"/>
  <c r="C36" i="2"/>
  <c r="C28" i="2"/>
  <c r="C33" i="2"/>
  <c r="C32" i="2"/>
  <c r="C31" i="2"/>
  <c r="C34" i="2"/>
  <c r="C27" i="2"/>
  <c r="C35" i="2"/>
  <c r="B28" i="2"/>
  <c r="B36" i="2"/>
  <c r="B30" i="2"/>
  <c r="B29" i="2"/>
  <c r="B37" i="2"/>
  <c r="B38" i="2"/>
  <c r="B31" i="2"/>
  <c r="B32" i="2"/>
  <c r="B33" i="2"/>
  <c r="B34" i="2"/>
  <c r="B35" i="2"/>
  <c r="B27" i="2"/>
  <c r="K111" i="3" l="1"/>
  <c r="K110" i="3"/>
  <c r="K116" i="3"/>
  <c r="K99" i="2" s="1"/>
  <c r="K117" i="3"/>
  <c r="L99" i="2" s="1"/>
  <c r="H56" i="3"/>
  <c r="G78" i="3"/>
  <c r="J20" i="3"/>
  <c r="I21" i="3"/>
  <c r="Y87" i="2"/>
  <c r="J84" i="2"/>
  <c r="AF15" i="2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H96" i="2"/>
  <c r="H88" i="2"/>
  <c r="J112" i="3"/>
  <c r="H95" i="2"/>
  <c r="H87" i="2"/>
  <c r="J86" i="2" s="1"/>
  <c r="H98" i="2"/>
  <c r="H94" i="2"/>
  <c r="H90" i="2"/>
  <c r="H93" i="2"/>
  <c r="H97" i="2"/>
  <c r="H92" i="2"/>
  <c r="H89" i="2"/>
  <c r="H91" i="2"/>
  <c r="J82" i="2"/>
  <c r="J75" i="2"/>
  <c r="J77" i="2"/>
  <c r="J81" i="2"/>
  <c r="J79" i="2"/>
  <c r="K126" i="3"/>
  <c r="O99" i="2" s="1"/>
  <c r="K120" i="3"/>
  <c r="M104" i="2" s="1"/>
  <c r="Y104" i="2" s="1"/>
  <c r="L53" i="3"/>
  <c r="J83" i="2"/>
  <c r="J85" i="2"/>
  <c r="J80" i="2"/>
  <c r="J78" i="2"/>
  <c r="I98" i="2"/>
  <c r="I94" i="2"/>
  <c r="I90" i="2"/>
  <c r="I93" i="2"/>
  <c r="I97" i="2"/>
  <c r="I92" i="2"/>
  <c r="I89" i="2"/>
  <c r="I91" i="2"/>
  <c r="I96" i="2"/>
  <c r="I88" i="2"/>
  <c r="I95" i="2"/>
  <c r="I87" i="2"/>
  <c r="J76" i="2"/>
  <c r="D31" i="2"/>
  <c r="AE31" i="2" s="1"/>
  <c r="D38" i="2"/>
  <c r="AE38" i="2" s="1"/>
  <c r="D33" i="2"/>
  <c r="AE33" i="2" s="1"/>
  <c r="D30" i="2"/>
  <c r="AE30" i="2" s="1"/>
  <c r="D34" i="2"/>
  <c r="AE34" i="2" s="1"/>
  <c r="D36" i="2"/>
  <c r="AE36" i="2" s="1"/>
  <c r="D37" i="2"/>
  <c r="AE37" i="2" s="1"/>
  <c r="D32" i="2"/>
  <c r="AE32" i="2" s="1"/>
  <c r="D28" i="2"/>
  <c r="AE28" i="2" s="1"/>
  <c r="D27" i="2"/>
  <c r="AE27" i="2" s="1"/>
  <c r="D35" i="2"/>
  <c r="AE35" i="2" s="1"/>
  <c r="D29" i="2"/>
  <c r="AE29" i="2" s="1"/>
  <c r="L52" i="3"/>
  <c r="C46" i="2"/>
  <c r="C45" i="2"/>
  <c r="C44" i="2"/>
  <c r="C47" i="2"/>
  <c r="C43" i="2"/>
  <c r="C48" i="2"/>
  <c r="C42" i="2"/>
  <c r="C41" i="2"/>
  <c r="C50" i="2"/>
  <c r="C40" i="2"/>
  <c r="C39" i="2"/>
  <c r="C49" i="2"/>
  <c r="B44" i="2"/>
  <c r="B45" i="2"/>
  <c r="B46" i="2"/>
  <c r="B41" i="2"/>
  <c r="B48" i="2"/>
  <c r="B40" i="2"/>
  <c r="B42" i="2"/>
  <c r="B50" i="2"/>
  <c r="B43" i="2"/>
  <c r="B47" i="2"/>
  <c r="B39" i="2"/>
  <c r="B49" i="2"/>
  <c r="L116" i="3" l="1"/>
  <c r="L117" i="3"/>
  <c r="L111" i="3"/>
  <c r="L110" i="3"/>
  <c r="I56" i="3"/>
  <c r="H78" i="3"/>
  <c r="K20" i="3"/>
  <c r="J21" i="3"/>
  <c r="Y99" i="2"/>
  <c r="AF27" i="2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J92" i="2"/>
  <c r="J98" i="2"/>
  <c r="J87" i="2"/>
  <c r="I110" i="2"/>
  <c r="I102" i="2"/>
  <c r="I109" i="2"/>
  <c r="I101" i="2"/>
  <c r="I106" i="2"/>
  <c r="I108" i="2"/>
  <c r="I105" i="2"/>
  <c r="I100" i="2"/>
  <c r="I104" i="2"/>
  <c r="I107" i="2"/>
  <c r="I103" i="2"/>
  <c r="I99" i="2"/>
  <c r="J94" i="2"/>
  <c r="H110" i="2"/>
  <c r="H102" i="2"/>
  <c r="H109" i="2"/>
  <c r="H101" i="2"/>
  <c r="H106" i="2"/>
  <c r="H108" i="2"/>
  <c r="K112" i="3"/>
  <c r="H105" i="2"/>
  <c r="H100" i="2"/>
  <c r="H104" i="2"/>
  <c r="H107" i="2"/>
  <c r="H103" i="2"/>
  <c r="H99" i="2"/>
  <c r="J91" i="2"/>
  <c r="K111" i="2"/>
  <c r="L111" i="2"/>
  <c r="J89" i="2"/>
  <c r="J95" i="2"/>
  <c r="J90" i="2"/>
  <c r="J97" i="2"/>
  <c r="J88" i="2"/>
  <c r="L120" i="3"/>
  <c r="M116" i="2" s="1"/>
  <c r="Y116" i="2" s="1"/>
  <c r="L126" i="3"/>
  <c r="O111" i="2" s="1"/>
  <c r="J93" i="2"/>
  <c r="J96" i="2"/>
  <c r="D41" i="2"/>
  <c r="AE41" i="2" s="1"/>
  <c r="D47" i="2"/>
  <c r="AE47" i="2" s="1"/>
  <c r="D49" i="2"/>
  <c r="AE49" i="2" s="1"/>
  <c r="D48" i="2"/>
  <c r="AE48" i="2" s="1"/>
  <c r="D39" i="2"/>
  <c r="AE39" i="2" s="1"/>
  <c r="D45" i="2"/>
  <c r="AE45" i="2" s="1"/>
  <c r="D46" i="2"/>
  <c r="AE46" i="2" s="1"/>
  <c r="D44" i="2"/>
  <c r="AE44" i="2" s="1"/>
  <c r="D50" i="2"/>
  <c r="AE50" i="2" s="1"/>
  <c r="D42" i="2"/>
  <c r="AE42" i="2" s="1"/>
  <c r="D40" i="2"/>
  <c r="AE40" i="2" s="1"/>
  <c r="D43" i="2"/>
  <c r="AE43" i="2" s="1"/>
  <c r="B52" i="2"/>
  <c r="B60" i="2"/>
  <c r="B53" i="2"/>
  <c r="B61" i="2"/>
  <c r="B54" i="2"/>
  <c r="B62" i="2"/>
  <c r="B55" i="2"/>
  <c r="B56" i="2"/>
  <c r="B57" i="2"/>
  <c r="B58" i="2"/>
  <c r="B59" i="2"/>
  <c r="B51" i="2"/>
  <c r="C62" i="2"/>
  <c r="C54" i="2"/>
  <c r="C61" i="2"/>
  <c r="C53" i="2"/>
  <c r="C60" i="2"/>
  <c r="C52" i="2"/>
  <c r="C58" i="2"/>
  <c r="C57" i="2"/>
  <c r="C56" i="2"/>
  <c r="C55" i="2"/>
  <c r="C51" i="2"/>
  <c r="C59" i="2"/>
  <c r="J56" i="3" l="1"/>
  <c r="I78" i="3"/>
  <c r="L20" i="3"/>
  <c r="L21" i="3" s="1"/>
  <c r="K21" i="3"/>
  <c r="J104" i="2"/>
  <c r="J102" i="2"/>
  <c r="Y111" i="2"/>
  <c r="J107" i="2"/>
  <c r="J109" i="2"/>
  <c r="J110" i="2"/>
  <c r="J100" i="2"/>
  <c r="J105" i="2"/>
  <c r="AF39" i="2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H120" i="2"/>
  <c r="H112" i="2"/>
  <c r="H119" i="2"/>
  <c r="H111" i="2"/>
  <c r="H117" i="2"/>
  <c r="H115" i="2"/>
  <c r="H122" i="2"/>
  <c r="H118" i="2"/>
  <c r="L112" i="3"/>
  <c r="H114" i="2"/>
  <c r="H113" i="2"/>
  <c r="H121" i="2"/>
  <c r="H116" i="2"/>
  <c r="J108" i="2"/>
  <c r="J99" i="2"/>
  <c r="J106" i="2"/>
  <c r="I122" i="2"/>
  <c r="I118" i="2"/>
  <c r="I114" i="2"/>
  <c r="I117" i="2"/>
  <c r="I116" i="2"/>
  <c r="I121" i="2"/>
  <c r="I113" i="2"/>
  <c r="I115" i="2"/>
  <c r="I112" i="2"/>
  <c r="I120" i="2"/>
  <c r="I119" i="2"/>
  <c r="I111" i="2"/>
  <c r="J103" i="2"/>
  <c r="J101" i="2"/>
  <c r="D55" i="2"/>
  <c r="AE55" i="2" s="1"/>
  <c r="D57" i="2"/>
  <c r="AE57" i="2" s="1"/>
  <c r="D52" i="2"/>
  <c r="AE52" i="2" s="1"/>
  <c r="D56" i="2"/>
  <c r="AE56" i="2" s="1"/>
  <c r="D53" i="2"/>
  <c r="AE53" i="2" s="1"/>
  <c r="D61" i="2"/>
  <c r="AE61" i="2" s="1"/>
  <c r="D54" i="2"/>
  <c r="AE54" i="2" s="1"/>
  <c r="D59" i="2"/>
  <c r="AE59" i="2" s="1"/>
  <c r="D62" i="2"/>
  <c r="AE62" i="2" s="1"/>
  <c r="D58" i="2"/>
  <c r="AE58" i="2" s="1"/>
  <c r="D60" i="2"/>
  <c r="AE60" i="2" s="1"/>
  <c r="D51" i="2"/>
  <c r="AE51" i="2" s="1"/>
  <c r="B68" i="2"/>
  <c r="B69" i="2"/>
  <c r="B70" i="2"/>
  <c r="B74" i="2"/>
  <c r="B64" i="2"/>
  <c r="B63" i="2"/>
  <c r="B65" i="2"/>
  <c r="B66" i="2"/>
  <c r="B71" i="2"/>
  <c r="B67" i="2"/>
  <c r="B73" i="2"/>
  <c r="B72" i="2"/>
  <c r="C70" i="2"/>
  <c r="C69" i="2"/>
  <c r="C68" i="2"/>
  <c r="C72" i="2"/>
  <c r="C71" i="2"/>
  <c r="C67" i="2"/>
  <c r="C73" i="2"/>
  <c r="C66" i="2"/>
  <c r="C65" i="2"/>
  <c r="C64" i="2"/>
  <c r="C74" i="2"/>
  <c r="C63" i="2"/>
  <c r="K56" i="3" l="1"/>
  <c r="J78" i="3"/>
  <c r="J118" i="2"/>
  <c r="AF51" i="2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J122" i="2"/>
  <c r="J116" i="2"/>
  <c r="J117" i="2"/>
  <c r="J115" i="2"/>
  <c r="J121" i="2"/>
  <c r="J111" i="2"/>
  <c r="J113" i="2"/>
  <c r="J119" i="2"/>
  <c r="J114" i="2"/>
  <c r="J112" i="2"/>
  <c r="J120" i="2"/>
  <c r="D65" i="2"/>
  <c r="AE65" i="2" s="1"/>
  <c r="D64" i="2"/>
  <c r="AE64" i="2" s="1"/>
  <c r="D71" i="2"/>
  <c r="AE71" i="2" s="1"/>
  <c r="D68" i="2"/>
  <c r="AE68" i="2" s="1"/>
  <c r="D67" i="2"/>
  <c r="AE67" i="2" s="1"/>
  <c r="D63" i="2"/>
  <c r="AE63" i="2" s="1"/>
  <c r="D69" i="2"/>
  <c r="AE69" i="2" s="1"/>
  <c r="D70" i="2"/>
  <c r="AE70" i="2" s="1"/>
  <c r="D66" i="2"/>
  <c r="AE66" i="2" s="1"/>
  <c r="D72" i="2"/>
  <c r="AE72" i="2" s="1"/>
  <c r="D74" i="2"/>
  <c r="AE74" i="2" s="1"/>
  <c r="D73" i="2"/>
  <c r="AE73" i="2" s="1"/>
  <c r="C86" i="2"/>
  <c r="C78" i="2"/>
  <c r="C85" i="2"/>
  <c r="C77" i="2"/>
  <c r="C84" i="2"/>
  <c r="C76" i="2"/>
  <c r="C83" i="2"/>
  <c r="C82" i="2"/>
  <c r="C81" i="2"/>
  <c r="C80" i="2"/>
  <c r="C75" i="2"/>
  <c r="C79" i="2"/>
  <c r="B76" i="2"/>
  <c r="B84" i="2"/>
  <c r="B78" i="2"/>
  <c r="B77" i="2"/>
  <c r="B85" i="2"/>
  <c r="B86" i="2"/>
  <c r="B75" i="2"/>
  <c r="B83" i="2"/>
  <c r="B79" i="2"/>
  <c r="B80" i="2"/>
  <c r="B81" i="2"/>
  <c r="B82" i="2"/>
  <c r="L56" i="3" l="1"/>
  <c r="L78" i="3" s="1"/>
  <c r="K78" i="3"/>
  <c r="AF63" i="2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D79" i="2"/>
  <c r="AE79" i="2" s="1"/>
  <c r="D82" i="2"/>
  <c r="AE82" i="2" s="1"/>
  <c r="D86" i="2"/>
  <c r="AE86" i="2" s="1"/>
  <c r="D75" i="2"/>
  <c r="AE75" i="2" s="1"/>
  <c r="D77" i="2"/>
  <c r="AE77" i="2" s="1"/>
  <c r="D85" i="2"/>
  <c r="AE85" i="2" s="1"/>
  <c r="D78" i="2"/>
  <c r="AE78" i="2" s="1"/>
  <c r="D84" i="2"/>
  <c r="AE84" i="2" s="1"/>
  <c r="D80" i="2"/>
  <c r="AE80" i="2" s="1"/>
  <c r="D76" i="2"/>
  <c r="AE76" i="2" s="1"/>
  <c r="D83" i="2"/>
  <c r="AE83" i="2" s="1"/>
  <c r="D81" i="2"/>
  <c r="AE81" i="2" s="1"/>
  <c r="C94" i="2"/>
  <c r="C93" i="2"/>
  <c r="C92" i="2"/>
  <c r="C97" i="2"/>
  <c r="C96" i="2"/>
  <c r="C87" i="2"/>
  <c r="C95" i="2"/>
  <c r="C91" i="2"/>
  <c r="C90" i="2"/>
  <c r="C89" i="2"/>
  <c r="C88" i="2"/>
  <c r="C98" i="2"/>
  <c r="B92" i="2"/>
  <c r="B93" i="2"/>
  <c r="B94" i="2"/>
  <c r="B97" i="2"/>
  <c r="B98" i="2"/>
  <c r="B88" i="2"/>
  <c r="B87" i="2"/>
  <c r="B96" i="2"/>
  <c r="B89" i="2"/>
  <c r="B91" i="2"/>
  <c r="B90" i="2"/>
  <c r="B95" i="2"/>
  <c r="AF75" i="2" l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D95" i="2"/>
  <c r="AE95" i="2" s="1"/>
  <c r="D97" i="2"/>
  <c r="AE97" i="2" s="1"/>
  <c r="D87" i="2"/>
  <c r="AE87" i="2" s="1"/>
  <c r="D88" i="2"/>
  <c r="AE88" i="2" s="1"/>
  <c r="D98" i="2"/>
  <c r="AE98" i="2" s="1"/>
  <c r="D91" i="2"/>
  <c r="AE91" i="2" s="1"/>
  <c r="D93" i="2"/>
  <c r="AE93" i="2" s="1"/>
  <c r="D94" i="2"/>
  <c r="AE94" i="2" s="1"/>
  <c r="D90" i="2"/>
  <c r="AE90" i="2" s="1"/>
  <c r="D89" i="2"/>
  <c r="AE89" i="2" s="1"/>
  <c r="D92" i="2"/>
  <c r="AE92" i="2" s="1"/>
  <c r="D96" i="2"/>
  <c r="AE96" i="2" s="1"/>
  <c r="C110" i="2"/>
  <c r="C102" i="2"/>
  <c r="C109" i="2"/>
  <c r="C101" i="2"/>
  <c r="C108" i="2"/>
  <c r="C100" i="2"/>
  <c r="C107" i="2"/>
  <c r="C106" i="2"/>
  <c r="C105" i="2"/>
  <c r="C103" i="2"/>
  <c r="C104" i="2"/>
  <c r="C99" i="2"/>
  <c r="B100" i="2"/>
  <c r="B108" i="2"/>
  <c r="B101" i="2"/>
  <c r="B109" i="2"/>
  <c r="B102" i="2"/>
  <c r="B110" i="2"/>
  <c r="B107" i="2"/>
  <c r="B99" i="2"/>
  <c r="B103" i="2"/>
  <c r="B104" i="2"/>
  <c r="B105" i="2"/>
  <c r="B106" i="2"/>
  <c r="AF87" i="2" l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D108" i="2"/>
  <c r="AE108" i="2" s="1"/>
  <c r="D106" i="2"/>
  <c r="AE106" i="2" s="1"/>
  <c r="D102" i="2"/>
  <c r="AE102" i="2" s="1"/>
  <c r="D101" i="2"/>
  <c r="AE101" i="2" s="1"/>
  <c r="D104" i="2"/>
  <c r="AE104" i="2" s="1"/>
  <c r="D103" i="2"/>
  <c r="AE103" i="2" s="1"/>
  <c r="D105" i="2"/>
  <c r="AE105" i="2" s="1"/>
  <c r="D109" i="2"/>
  <c r="AE109" i="2" s="1"/>
  <c r="D100" i="2"/>
  <c r="AE100" i="2" s="1"/>
  <c r="D99" i="2"/>
  <c r="AE99" i="2" s="1"/>
  <c r="D107" i="2"/>
  <c r="AE107" i="2" s="1"/>
  <c r="D110" i="2"/>
  <c r="AE110" i="2" s="1"/>
  <c r="C118" i="2"/>
  <c r="C117" i="2"/>
  <c r="C116" i="2"/>
  <c r="C122" i="2"/>
  <c r="C111" i="2"/>
  <c r="C121" i="2"/>
  <c r="C120" i="2"/>
  <c r="C112" i="2"/>
  <c r="C119" i="2"/>
  <c r="C115" i="2"/>
  <c r="C114" i="2"/>
  <c r="C113" i="2"/>
  <c r="B116" i="2"/>
  <c r="B117" i="2"/>
  <c r="B118" i="2"/>
  <c r="B120" i="2"/>
  <c r="B121" i="2"/>
  <c r="B119" i="2"/>
  <c r="B122" i="2"/>
  <c r="B112" i="2"/>
  <c r="B111" i="2"/>
  <c r="B114" i="2"/>
  <c r="B113" i="2"/>
  <c r="B115" i="2"/>
  <c r="AF99" i="2" l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D121" i="2"/>
  <c r="AE121" i="2" s="1"/>
  <c r="D120" i="2"/>
  <c r="AE120" i="2" s="1"/>
  <c r="D119" i="2"/>
  <c r="AE119" i="2" s="1"/>
  <c r="D112" i="2"/>
  <c r="AE112" i="2" s="1"/>
  <c r="D115" i="2"/>
  <c r="AE115" i="2" s="1"/>
  <c r="D113" i="2"/>
  <c r="AE113" i="2" s="1"/>
  <c r="D122" i="2"/>
  <c r="AE122" i="2" s="1"/>
  <c r="D117" i="2"/>
  <c r="AE117" i="2" s="1"/>
  <c r="D118" i="2"/>
  <c r="AE118" i="2" s="1"/>
  <c r="D114" i="2"/>
  <c r="AE114" i="2" s="1"/>
  <c r="D111" i="2"/>
  <c r="AE111" i="2" s="1"/>
  <c r="D116" i="2"/>
  <c r="AE116" i="2" s="1"/>
  <c r="AF111" i="2" l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<sst xmlns="http://schemas.openxmlformats.org/spreadsheetml/2006/main" count="188" uniqueCount="117">
  <si>
    <t>Revenues</t>
  </si>
  <si>
    <t>ERP</t>
  </si>
  <si>
    <t>Investments</t>
  </si>
  <si>
    <t>Month</t>
  </si>
  <si>
    <t>Testbench Gearbox</t>
  </si>
  <si>
    <t>Rotorhead Flex</t>
  </si>
  <si>
    <t>CAD / PLM</t>
  </si>
  <si>
    <t>Engineering</t>
  </si>
  <si>
    <t>Supply Chain</t>
  </si>
  <si>
    <t>Production Planning</t>
  </si>
  <si>
    <t>Compliance Verification Engineers (CVEs)</t>
  </si>
  <si>
    <t>Sales Marketing</t>
  </si>
  <si>
    <t>HR</t>
  </si>
  <si>
    <t>CEO Secretary</t>
  </si>
  <si>
    <t>Total</t>
  </si>
  <si>
    <t>Base Salaries</t>
  </si>
  <si>
    <t>Salary Inflation</t>
  </si>
  <si>
    <t>Salaries - Engineering</t>
  </si>
  <si>
    <t>Salaries - Administration</t>
  </si>
  <si>
    <t>Saleries Total</t>
  </si>
  <si>
    <t>Existing Fleet</t>
  </si>
  <si>
    <t>New MD</t>
  </si>
  <si>
    <t>Price Inflation Helicopter</t>
  </si>
  <si>
    <t>Price Inflation General</t>
  </si>
  <si>
    <t>Heli_sales</t>
  </si>
  <si>
    <t>Heli_Sales</t>
  </si>
  <si>
    <t>Year</t>
  </si>
  <si>
    <t>Inflation</t>
  </si>
  <si>
    <t>Production Cost</t>
  </si>
  <si>
    <t>Personnel</t>
  </si>
  <si>
    <t>CFO</t>
  </si>
  <si>
    <t>Accountant</t>
  </si>
  <si>
    <t>CEO</t>
  </si>
  <si>
    <t>Heli_Costs</t>
  </si>
  <si>
    <t>Spare_Costs</t>
  </si>
  <si>
    <t>CAD/PLM</t>
  </si>
  <si>
    <t>Marketing Expenses</t>
  </si>
  <si>
    <t>Rent Space  MollisPrototyping</t>
  </si>
  <si>
    <t>Rent Space USA</t>
  </si>
  <si>
    <t>Testbenches</t>
  </si>
  <si>
    <t>Gearbox</t>
  </si>
  <si>
    <t>Hardware NRC's</t>
  </si>
  <si>
    <t>Cockpit</t>
  </si>
  <si>
    <t>Autopilot</t>
  </si>
  <si>
    <t>Rotorblades</t>
  </si>
  <si>
    <t>Flex</t>
  </si>
  <si>
    <t>Notar Fan</t>
  </si>
  <si>
    <t>Fuselage Tooling</t>
  </si>
  <si>
    <t>Software</t>
  </si>
  <si>
    <t>Rental</t>
  </si>
  <si>
    <t>Land_purchase</t>
  </si>
  <si>
    <t>production_hall</t>
  </si>
  <si>
    <t>Inflation Multipliers</t>
  </si>
  <si>
    <t>Month to pay</t>
  </si>
  <si>
    <t>Total_Sales</t>
  </si>
  <si>
    <t>Total_Mat_Costs</t>
  </si>
  <si>
    <t>Salaries_Engin</t>
  </si>
  <si>
    <t>Salaries_Admin</t>
  </si>
  <si>
    <t>Total_Salaries</t>
  </si>
  <si>
    <t>Marketing</t>
  </si>
  <si>
    <t>Rental_Mollis</t>
  </si>
  <si>
    <t>Rental_USA</t>
  </si>
  <si>
    <t>Shareholders_Loans</t>
  </si>
  <si>
    <t>CF_monthly</t>
  </si>
  <si>
    <t>CF_acc</t>
  </si>
  <si>
    <t>TC</t>
  </si>
  <si>
    <t>Other_Expenses</t>
  </si>
  <si>
    <t>Spare Parts Overhaul Existing Fleet</t>
  </si>
  <si>
    <t xml:space="preserve">Old MD900 / MD902 Explorer_expected </t>
  </si>
  <si>
    <t>Heli Sales</t>
  </si>
  <si>
    <t>Spare and Maintenance</t>
  </si>
  <si>
    <t>Spare_and_Maintenance</t>
  </si>
  <si>
    <t>Spare_and_Maintenance Costs</t>
  </si>
  <si>
    <t>Gearbox overhaul</t>
  </si>
  <si>
    <t>Flexbeams</t>
  </si>
  <si>
    <t>Manifolds</t>
  </si>
  <si>
    <t>Hydraulic Pumps</t>
  </si>
  <si>
    <t>Different Parts</t>
  </si>
  <si>
    <t>Heli</t>
  </si>
  <si>
    <t>Sales Prices</t>
  </si>
  <si>
    <t>Production Costs</t>
  </si>
  <si>
    <t>Total Spares Costs</t>
  </si>
  <si>
    <t>Total Spares Sales Price</t>
  </si>
  <si>
    <t>Scenario Used:</t>
  </si>
  <si>
    <t>A</t>
  </si>
  <si>
    <t>B</t>
  </si>
  <si>
    <t>C</t>
  </si>
  <si>
    <t>D</t>
  </si>
  <si>
    <t>Time Changing in Years</t>
  </si>
  <si>
    <t>Cost Changing in %</t>
  </si>
  <si>
    <t>Base Case:</t>
  </si>
  <si>
    <t>Expected</t>
  </si>
  <si>
    <t>Old MD900 / MD902 Explorer_ambitious, -3M</t>
  </si>
  <si>
    <t>Old MD900 / MD902 Explorer_conservative, +3M</t>
  </si>
  <si>
    <t>Old MD900 / MD902 Explorer_conservative, +6M</t>
  </si>
  <si>
    <t>+3M</t>
  </si>
  <si>
    <t>-3M</t>
  </si>
  <si>
    <t>+6M</t>
  </si>
  <si>
    <t>Used:</t>
  </si>
  <si>
    <t xml:space="preserve">Used for Old MDs: </t>
  </si>
  <si>
    <t>New MDs</t>
  </si>
  <si>
    <t>MD900*</t>
  </si>
  <si>
    <t>MD902 Explorer*</t>
  </si>
  <si>
    <t>* numbers not used for further calculations</t>
  </si>
  <si>
    <t>ambitious</t>
  </si>
  <si>
    <t>expected</t>
  </si>
  <si>
    <t>conservative</t>
  </si>
  <si>
    <t>Spares and Maintenance</t>
  </si>
  <si>
    <t>Cost Multiplier based on Scenario</t>
  </si>
  <si>
    <t>fixed scenarios</t>
  </si>
  <si>
    <t>Financing Shareholders Loans</t>
  </si>
  <si>
    <t>Payback Period in months</t>
  </si>
  <si>
    <t>Cumulating Period in months</t>
  </si>
  <si>
    <t>Initital Monthly Shareholders Salaries</t>
  </si>
  <si>
    <t>Monthly %-age as Loan</t>
  </si>
  <si>
    <t>Heli Sales Time Decay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</si>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</sst>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 * #,##0_ ;_ * \-#,##0_ ;_ * &quot;-&quot;??_ ;_ @_ "/>
    <numFmt numFmtId="166" formatCode="_ * #,##0.000_ ;_ * \-#,##0.000_ ;_ * &quot;-&quot;??_ ;_ @_ "/>
    <numFmt numFmtId="167" formatCode="_ * #\'##0.0_ ;_ * \-#\'##0.0_ ;_ * &quot;-&quot;??_ ;_ @_ 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0" fillId="2" borderId="0" xfId="0" applyFill="1"/>
    <xf numFmtId="164" fontId="0" fillId="2" borderId="0" xfId="1" applyNumberFormat="1" applyFont="1" applyFill="1"/>
    <xf numFmtId="164" fontId="0" fillId="0" borderId="0" xfId="1" applyNumberFormat="1" applyFont="1" applyFill="1"/>
    <xf numFmtId="166" fontId="0" fillId="0" borderId="0" xfId="1" applyNumberFormat="1" applyFont="1" applyFill="1"/>
    <xf numFmtId="0" fontId="3" fillId="0" borderId="0" xfId="0" applyFont="1"/>
    <xf numFmtId="167" fontId="0" fillId="0" borderId="0" xfId="1" applyNumberFormat="1" applyFont="1"/>
    <xf numFmtId="167" fontId="2" fillId="0" borderId="0" xfId="1" applyNumberFormat="1" applyFont="1"/>
    <xf numFmtId="0" fontId="4" fillId="0" borderId="0" xfId="0" applyFont="1"/>
    <xf numFmtId="167" fontId="0" fillId="0" borderId="0" xfId="0" applyNumberFormat="1"/>
    <xf numFmtId="0" fontId="0" fillId="0" borderId="0" xfId="0" applyFont="1"/>
    <xf numFmtId="9" fontId="0" fillId="2" borderId="0" xfId="2" applyFont="1" applyFill="1"/>
    <xf numFmtId="9" fontId="0" fillId="2" borderId="0" xfId="0" applyNumberFormat="1" applyFill="1"/>
    <xf numFmtId="164" fontId="0" fillId="0" borderId="0" xfId="0" applyNumberFormat="1" applyFill="1"/>
    <xf numFmtId="0" fontId="0" fillId="0" borderId="0" xfId="0" applyAlignment="1">
      <alignment wrapText="1"/>
    </xf>
    <xf numFmtId="0" fontId="0" fillId="2" borderId="0" xfId="0" applyFont="1" applyFill="1"/>
    <xf numFmtId="0" fontId="0" fillId="0" borderId="0" xfId="0" quotePrefix="1" applyFont="1"/>
    <xf numFmtId="0" fontId="0" fillId="0" borderId="0" xfId="0" applyFill="1"/>
    <xf numFmtId="43" fontId="2" fillId="0" borderId="0" xfId="1" applyFont="1"/>
    <xf numFmtId="43" fontId="0" fillId="0" borderId="0" xfId="0" applyNumberFormat="1"/>
    <xf numFmtId="0" fontId="5" fillId="0" borderId="0" xfId="0" quotePrefix="1" applyFont="1"/>
    <xf numFmtId="43" fontId="1" fillId="0" borderId="0" xfId="1" applyFont="1"/>
    <xf numFmtId="0" fontId="2" fillId="0" borderId="0" xfId="0" applyFont="1" applyAlignment="1">
      <alignment wrapText="1"/>
    </xf>
    <xf numFmtId="164" fontId="0" fillId="3" borderId="0" xfId="1" applyNumberFormat="1" applyFont="1" applyFill="1"/>
    <xf numFmtId="0" fontId="0" fillId="3" borderId="0" xfId="0" applyFill="1"/>
  </cellXfs>
  <cellStyles count="3">
    <cellStyle name="Komma" xfId="1" builtinId="3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97C7-B6AB-4D80-8685-CA79226CDA9E}">
  <sheetPr codeName="Tabelle1"/>
  <dimension ref="A1:AF122"/>
  <sheetViews>
    <sheetView topLeftCell="L1" workbookViewId="0">
      <selection activeCell="AD7" sqref="AD7"/>
    </sheetView>
  </sheetViews>
  <sheetFormatPr baseColWidth="10" defaultRowHeight="15" x14ac:dyDescent="0.25"/>
  <cols>
    <col min="2" max="2" width="14.5703125" style="1" bestFit="1" customWidth="1"/>
    <col min="3" max="3" width="11.5703125" bestFit="1" customWidth="1"/>
    <col min="5" max="6" width="11.7109375" bestFit="1" customWidth="1"/>
    <col min="10" max="10" width="11.7109375" style="10" bestFit="1" customWidth="1"/>
    <col min="11" max="11" width="11.42578125" style="10"/>
    <col min="26" max="26" width="12.5703125" bestFit="1" customWidth="1"/>
    <col min="31" max="31" width="11.7109375" bestFit="1" customWidth="1"/>
    <col min="32" max="32" width="13.5703125" bestFit="1" customWidth="1"/>
  </cols>
  <sheetData>
    <row r="1" spans="1:32" x14ac:dyDescent="0.25">
      <c r="A1" t="s">
        <v>3</v>
      </c>
      <c r="B1" s="1" t="s">
        <v>24</v>
      </c>
      <c r="C1" t="s">
        <v>71</v>
      </c>
      <c r="D1" s="3" t="s">
        <v>54</v>
      </c>
      <c r="E1" t="s">
        <v>33</v>
      </c>
      <c r="F1" t="s">
        <v>34</v>
      </c>
      <c r="G1" s="3" t="s">
        <v>55</v>
      </c>
      <c r="H1" t="s">
        <v>56</v>
      </c>
      <c r="I1" t="s">
        <v>57</v>
      </c>
      <c r="J1" s="11" t="s">
        <v>58</v>
      </c>
      <c r="K1" s="10" t="s">
        <v>6</v>
      </c>
      <c r="L1" t="s">
        <v>1</v>
      </c>
      <c r="M1" t="s">
        <v>59</v>
      </c>
      <c r="N1" t="s">
        <v>60</v>
      </c>
      <c r="O1" t="s">
        <v>61</v>
      </c>
      <c r="P1" t="s">
        <v>4</v>
      </c>
      <c r="Q1" t="s">
        <v>5</v>
      </c>
      <c r="R1" t="s">
        <v>42</v>
      </c>
      <c r="S1" t="s">
        <v>43</v>
      </c>
      <c r="T1" t="s">
        <v>40</v>
      </c>
      <c r="U1" t="s">
        <v>44</v>
      </c>
      <c r="V1" t="s">
        <v>45</v>
      </c>
      <c r="W1" t="s">
        <v>46</v>
      </c>
      <c r="X1" t="s">
        <v>47</v>
      </c>
      <c r="Y1" s="12" t="s">
        <v>66</v>
      </c>
      <c r="Z1" t="s">
        <v>65</v>
      </c>
      <c r="AA1" t="s">
        <v>50</v>
      </c>
      <c r="AB1" t="s">
        <v>51</v>
      </c>
      <c r="AC1" s="12" t="s">
        <v>2</v>
      </c>
      <c r="AD1" s="3" t="s">
        <v>62</v>
      </c>
      <c r="AE1" s="3" t="s">
        <v>63</v>
      </c>
      <c r="AF1" s="3" t="s">
        <v>64</v>
      </c>
    </row>
    <row r="2" spans="1:32" x14ac:dyDescent="0.25">
      <c r="A2">
        <v>0</v>
      </c>
      <c r="B2" s="1">
        <v>0</v>
      </c>
      <c r="C2">
        <v>0</v>
      </c>
      <c r="D2" s="2">
        <f>SUM(B2:C2)</f>
        <v>0</v>
      </c>
      <c r="E2">
        <v>0</v>
      </c>
      <c r="F2">
        <v>0</v>
      </c>
      <c r="G2" s="2">
        <f>SUM(E2:F2)</f>
        <v>0</v>
      </c>
      <c r="H2">
        <v>0</v>
      </c>
      <c r="I2">
        <v>0</v>
      </c>
      <c r="J2" s="10">
        <f>SUM(H2:I2)</f>
        <v>0</v>
      </c>
      <c r="K2" s="10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13">
        <f>SUM(K2:X2)</f>
        <v>0</v>
      </c>
      <c r="Z2">
        <v>0</v>
      </c>
      <c r="AA2">
        <v>0</v>
      </c>
      <c r="AB2">
        <v>0</v>
      </c>
      <c r="AC2">
        <f>SUM(Z2:AB2)</f>
        <v>0</v>
      </c>
      <c r="AD2">
        <v>0</v>
      </c>
      <c r="AE2">
        <v>0</v>
      </c>
      <c r="AF2">
        <v>0</v>
      </c>
    </row>
    <row r="3" spans="1:32" x14ac:dyDescent="0.25">
      <c r="A3">
        <v>1</v>
      </c>
      <c r="B3" s="1">
        <f>Input!$C$78/12</f>
        <v>0</v>
      </c>
      <c r="C3" s="1">
        <f>Input!$C$79/12</f>
        <v>0</v>
      </c>
      <c r="D3" s="2">
        <f>SUM(B3:C3)</f>
        <v>0</v>
      </c>
      <c r="E3" s="1">
        <f>Input!$C$82/12</f>
        <v>0</v>
      </c>
      <c r="F3" s="1">
        <f>Input!$C$83/12</f>
        <v>0</v>
      </c>
      <c r="G3" s="2">
        <f>SUM(E3:F3)</f>
        <v>0</v>
      </c>
      <c r="H3" s="1">
        <f>Input!$C$110/12</f>
        <v>-133000</v>
      </c>
      <c r="I3" s="1">
        <f>Input!$C$111/12</f>
        <v>-91833.333333333328</v>
      </c>
      <c r="J3" s="10">
        <f t="shared" ref="J3:J66" si="0">SUM(H3:I3)</f>
        <v>-224833.33333333331</v>
      </c>
      <c r="K3" s="10">
        <f>IF(ISERROR(HLOOKUP(CFs!A3,Input!$C$115:$L$117,2,FALSE)),0,HLOOKUP(CFs!A3,Input!$C$115:$L$117,2,FALSE))</f>
        <v>-71500</v>
      </c>
      <c r="L3" s="10">
        <f>IF(ISERROR(HLOOKUP(CFs!A3,Input!$C$115:$L$117,3,FALSE)),0,HLOOKUP(CFs!A3,Input!$C$115:$L$117,3,FALSE))</f>
        <v>-45000</v>
      </c>
      <c r="M3" s="10">
        <f>IF(ISERROR(HLOOKUP(CFs!$A3,Input!$C$119:$L$120,2,FALSE)),0,HLOOKUP(CFs!$A3,Input!$C$119:$L$120,2,FALSE))</f>
        <v>0</v>
      </c>
      <c r="N3" s="10">
        <f>IF(ISERROR(HLOOKUP(CFs!$A3,Input!$C$123:$L$124,2,FALSE)),0,HLOOKUP(CFs!$A3,Input!$C$123:$L$124,2,FALSE))</f>
        <v>-50000</v>
      </c>
      <c r="O3" s="10">
        <f>IF(ISERROR(HLOOKUP(CFs!$A3,Input!$C$125:$L$126,2,FALSE)),0,HLOOKUP(CFs!$A3,Input!$C$125:$L$126,2,FALSE))</f>
        <v>-50000</v>
      </c>
      <c r="P3" s="10">
        <f>IF(ISERROR(HLOOKUP(CFs!$A3,Input!$C$129:$L$130,2,FALSE)),0,HLOOKUP(CFs!$A3,Input!$C$129:$L$130,2,FALSE))</f>
        <v>-100000</v>
      </c>
      <c r="Q3" s="10">
        <f>IF(ISERROR(HLOOKUP(CFs!$A3,Input!$C$131:$L$132,2,FALSE)),0,HLOOKUP(CFs!$A3,Input!$C$131:$L$132,2,FALSE))</f>
        <v>-50000</v>
      </c>
      <c r="R3" s="10">
        <f>IF(ISERROR(HLOOKUP(CFs!$A3,Input!$C$135:$L$136,2,FALSE)),0,HLOOKUP(CFs!$A3,Input!$C$135:$L$136,2,FALSE))</f>
        <v>-150000</v>
      </c>
      <c r="S3" s="10">
        <f>IF(ISERROR(HLOOKUP(CFs!$A3,Input!$C$137:$L$138,2,FALSE)),0,HLOOKUP(CFs!$A3,Input!$C$137:$L$138,2,FALSE))</f>
        <v>-100000</v>
      </c>
      <c r="T3" s="10">
        <f>IF(ISERROR(HLOOKUP(CFs!$A3,Input!$C$139:$L$140,2,FALSE)),0,HLOOKUP(CFs!$A3,Input!$C$139:$L$140,2,FALSE))</f>
        <v>-100000</v>
      </c>
      <c r="U3" s="10">
        <f>IF(ISERROR(HLOOKUP(CFs!$A3,Input!$C$141:$L$142,2,FALSE)),0,HLOOKUP(CFs!$A3,Input!$C$141:$L$142,2,FALSE))</f>
        <v>-100000</v>
      </c>
      <c r="V3" s="10">
        <f>IF(ISERROR(HLOOKUP(CFs!$A3,Input!$C$143:$L$144,2,FALSE)),0,HLOOKUP(CFs!$A3,Input!$C$143:$L$144,2,FALSE))</f>
        <v>-100000</v>
      </c>
      <c r="W3" s="10">
        <f>IF(ISERROR(HLOOKUP(CFs!$A3,Input!$C$145:$L$146,2,FALSE)),0,HLOOKUP(CFs!$A3,Input!$C$145:$L$146,2,FALSE))</f>
        <v>-100000</v>
      </c>
      <c r="X3" s="10">
        <f>IF(ISERROR(HLOOKUP(CFs!$A3,Input!$C$147:$L$148,2,FALSE)),0,HLOOKUP(CFs!$A3,Input!$C$147:$L$148,2,FALSE))</f>
        <v>-100000</v>
      </c>
      <c r="Y3" s="13">
        <f>SUM(K3:X3)</f>
        <v>-1116500</v>
      </c>
      <c r="Z3" s="10">
        <f>IF(ISERROR(HLOOKUP(CFs!$A3,Input!$C$152:$L$153,2,FALSE)),0,HLOOKUP(CFs!$A3,Input!$C$152:$L$153,2,FALSE))</f>
        <v>-15000000</v>
      </c>
      <c r="AA3" s="10">
        <f>IF(ISERROR(HLOOKUP(CFs!$A3,Input!$C$149:$L$150,2,FALSE)),0,HLOOKUP(CFs!$A3,Input!$C$149:$L$150,2,FALSE))</f>
        <v>0</v>
      </c>
      <c r="AB3" s="10">
        <f>IF(ISERROR(HLOOKUP(CFs!$A3,Input!$C$151:$L$154,2,FALSE)),0,HLOOKUP(CFs!$A3,Input!$C$151:$L$154,2,FALSE))</f>
        <v>0</v>
      </c>
      <c r="AC3">
        <f t="shared" ref="AC3:AC66" si="1">SUM(Z3:AB3)</f>
        <v>-15000000</v>
      </c>
      <c r="AD3" s="1" cm="1">
        <f t="array" ref="AD3">FirmaCashflow(Input!$C$165,Input!$C$166,Input!$C$163,Input!$D$163,CFs!A3)</f>
        <v>15833.333333333332</v>
      </c>
      <c r="AE3" s="2">
        <f>D3+G3+J3+Y3+AC3+AD3</f>
        <v>-16325500</v>
      </c>
      <c r="AF3" s="2">
        <f>AE3</f>
        <v>-16325500</v>
      </c>
    </row>
    <row r="4" spans="1:32" x14ac:dyDescent="0.25">
      <c r="A4">
        <v>2</v>
      </c>
      <c r="B4" s="1">
        <f>Input!$C$78/12</f>
        <v>0</v>
      </c>
      <c r="C4" s="1">
        <f>Input!$C$79/12</f>
        <v>0</v>
      </c>
      <c r="D4" s="2">
        <f>SUM(B4:C4)</f>
        <v>0</v>
      </c>
      <c r="E4" s="1">
        <f>Input!$C$82/12</f>
        <v>0</v>
      </c>
      <c r="F4" s="1">
        <f>Input!$C$83/12</f>
        <v>0</v>
      </c>
      <c r="G4" s="2">
        <f>SUM(E4:F4)</f>
        <v>0</v>
      </c>
      <c r="H4" s="1">
        <f>Input!$C$110/12</f>
        <v>-133000</v>
      </c>
      <c r="I4" s="1">
        <f>Input!$C$111/12</f>
        <v>-91833.333333333328</v>
      </c>
      <c r="J4" s="10">
        <f t="shared" si="0"/>
        <v>-224833.33333333331</v>
      </c>
      <c r="K4" s="10">
        <f>IF(ISERROR(HLOOKUP(CFs!A4,Input!$C$115:$L$117,2,FALSE)),0,HLOOKUP(CFs!A4,Input!$C$115:$L$117,2,FALSE))</f>
        <v>0</v>
      </c>
      <c r="L4" s="10">
        <f>IF(ISERROR(HLOOKUP(CFs!A4,Input!$C$115:$L$117,3,FALSE)),0,HLOOKUP(CFs!A4,Input!$C$115:$L$117,3,FALSE))</f>
        <v>0</v>
      </c>
      <c r="M4" s="10">
        <f>IF(ISERROR(HLOOKUP(CFs!$A4,Input!$C$119:$L$120,2,FALSE)),0,HLOOKUP(CFs!$A4,Input!$C$119:$L$120,2,FALSE))</f>
        <v>0</v>
      </c>
      <c r="N4" s="10">
        <f>IF(ISERROR(HLOOKUP(CFs!$A4,Input!$C$123:$L$124,2,FALSE)),0,HLOOKUP(CFs!$A4,Input!$C$123:$L$124,2,FALSE))</f>
        <v>0</v>
      </c>
      <c r="O4" s="10">
        <f>IF(ISERROR(HLOOKUP(CFs!$A4,Input!$C$125:$L$126,2,FALSE)),0,HLOOKUP(CFs!$A4,Input!$C$125:$L$126,2,FALSE))</f>
        <v>0</v>
      </c>
      <c r="P4" s="10">
        <f>IF(ISERROR(HLOOKUP(CFs!$A4,Input!$C$129:$L$130,2,FALSE)),0,HLOOKUP(CFs!$A4,Input!$C$129:$L$130,2,FALSE))</f>
        <v>0</v>
      </c>
      <c r="Q4" s="10">
        <f>IF(ISERROR(HLOOKUP(CFs!$A4,Input!$C$131:$L$132,2,FALSE)),0,HLOOKUP(CFs!$A4,Input!$C$131:$L$132,2,FALSE))</f>
        <v>0</v>
      </c>
      <c r="R4" s="10">
        <f>IF(ISERROR(HLOOKUP(CFs!$A4,Input!$C$135:$L$136,2,FALSE)),0,HLOOKUP(CFs!$A4,Input!$C$135:$L$136,2,FALSE))</f>
        <v>0</v>
      </c>
      <c r="S4" s="10">
        <f>IF(ISERROR(HLOOKUP(CFs!$A4,Input!$C$137:$L$138,2,FALSE)),0,HLOOKUP(CFs!$A4,Input!$C$137:$L$138,2,FALSE))</f>
        <v>0</v>
      </c>
      <c r="T4" s="10">
        <f>IF(ISERROR(HLOOKUP(CFs!$A4,Input!$C$139:$L$140,2,FALSE)),0,HLOOKUP(CFs!$A4,Input!$C$139:$L$140,2,FALSE))</f>
        <v>0</v>
      </c>
      <c r="U4" s="10">
        <f>IF(ISERROR(HLOOKUP(CFs!$A4,Input!$C$141:$L$142,2,FALSE)),0,HLOOKUP(CFs!$A4,Input!$C$141:$L$142,2,FALSE))</f>
        <v>0</v>
      </c>
      <c r="V4" s="10">
        <f>IF(ISERROR(HLOOKUP(CFs!$A4,Input!$C$143:$L$144,2,FALSE)),0,HLOOKUP(CFs!$A4,Input!$C$143:$L$144,2,FALSE))</f>
        <v>0</v>
      </c>
      <c r="W4" s="10">
        <f>IF(ISERROR(HLOOKUP(CFs!$A4,Input!$C$145:$L$146,2,FALSE)),0,HLOOKUP(CFs!$A4,Input!$C$145:$L$146,2,FALSE))</f>
        <v>0</v>
      </c>
      <c r="X4" s="10">
        <f>IF(ISERROR(HLOOKUP(CFs!$A4,Input!$C$147:$L$148,2,FALSE)),0,HLOOKUP(CFs!$A4,Input!$C$147:$L$148,2,FALSE))</f>
        <v>0</v>
      </c>
      <c r="Y4" s="13">
        <f t="shared" ref="Y4:Y67" si="2">SUM(K4:X4)</f>
        <v>0</v>
      </c>
      <c r="Z4" s="10">
        <f>IF(ISERROR(HLOOKUP(CFs!$A4,Input!$C$152:$L$153,2,FALSE)),0,HLOOKUP(CFs!$A4,Input!$C$152:$L$153,2,FALSE))</f>
        <v>0</v>
      </c>
      <c r="AA4" s="10">
        <f>IF(ISERROR(HLOOKUP(CFs!$A4,Input!$C$149:$L$150,2,FALSE)),0,HLOOKUP(CFs!$A4,Input!$C$149:$L$150,2,FALSE))</f>
        <v>0</v>
      </c>
      <c r="AB4" s="10">
        <f>IF(ISERROR(HLOOKUP(CFs!$A4,Input!$C$151:$L$154,2,FALSE)),0,HLOOKUP(CFs!$A4,Input!$C$151:$L$154,2,FALSE))</f>
        <v>0</v>
      </c>
      <c r="AC4">
        <f t="shared" si="1"/>
        <v>0</v>
      </c>
      <c r="AD4" s="1" cm="1">
        <f t="array" ref="AD4">FirmaCashflow(Input!$C$165,Input!$C$166,Input!$C$163,Input!$D$163,CFs!A4)</f>
        <v>15833.333333333332</v>
      </c>
      <c r="AE4" s="2">
        <f>D4+G4+J4+Y4+AC4+AD4</f>
        <v>-208999.99999999997</v>
      </c>
      <c r="AF4" s="2">
        <f>AF3+AE4</f>
        <v>-16534500</v>
      </c>
    </row>
    <row r="5" spans="1:32" x14ac:dyDescent="0.25">
      <c r="A5">
        <v>3</v>
      </c>
      <c r="B5" s="1">
        <f>Input!$C$78/12</f>
        <v>0</v>
      </c>
      <c r="C5" s="1">
        <f>Input!$C$79/12</f>
        <v>0</v>
      </c>
      <c r="D5" s="2">
        <f>SUM(B5:C5)</f>
        <v>0</v>
      </c>
      <c r="E5" s="1">
        <f>Input!$C$82/12</f>
        <v>0</v>
      </c>
      <c r="F5" s="1">
        <f>Input!$C$83/12</f>
        <v>0</v>
      </c>
      <c r="G5" s="2">
        <f>SUM(E5:F5)</f>
        <v>0</v>
      </c>
      <c r="H5" s="1">
        <f>Input!$C$110/12</f>
        <v>-133000</v>
      </c>
      <c r="I5" s="1">
        <f>Input!$C$111/12</f>
        <v>-91833.333333333328</v>
      </c>
      <c r="J5" s="10">
        <f t="shared" si="0"/>
        <v>-224833.33333333331</v>
      </c>
      <c r="K5" s="10">
        <f>IF(ISERROR(HLOOKUP(CFs!A5,Input!$C$115:$L$117,2,FALSE)),0,HLOOKUP(CFs!A5,Input!$C$115:$L$117,2,FALSE))</f>
        <v>0</v>
      </c>
      <c r="L5" s="10">
        <f>IF(ISERROR(HLOOKUP(CFs!A5,Input!$C$115:$L$117,3,FALSE)),0,HLOOKUP(CFs!A5,Input!$C$115:$L$117,3,FALSE))</f>
        <v>0</v>
      </c>
      <c r="M5" s="10">
        <f>IF(ISERROR(HLOOKUP(CFs!$A5,Input!$C$119:$L$120,2,FALSE)),0,HLOOKUP(CFs!$A5,Input!$C$119:$L$120,2,FALSE))</f>
        <v>0</v>
      </c>
      <c r="N5" s="10">
        <f>IF(ISERROR(HLOOKUP(CFs!$A5,Input!$C$123:$L$124,2,FALSE)),0,HLOOKUP(CFs!$A5,Input!$C$123:$L$124,2,FALSE))</f>
        <v>0</v>
      </c>
      <c r="O5" s="10">
        <f>IF(ISERROR(HLOOKUP(CFs!$A5,Input!$C$125:$L$126,2,FALSE)),0,HLOOKUP(CFs!$A5,Input!$C$125:$L$126,2,FALSE))</f>
        <v>0</v>
      </c>
      <c r="P5" s="10">
        <f>IF(ISERROR(HLOOKUP(CFs!$A5,Input!$C$129:$L$130,2,FALSE)),0,HLOOKUP(CFs!$A5,Input!$C$129:$L$130,2,FALSE))</f>
        <v>0</v>
      </c>
      <c r="Q5" s="10">
        <f>IF(ISERROR(HLOOKUP(CFs!$A5,Input!$C$131:$L$132,2,FALSE)),0,HLOOKUP(CFs!$A5,Input!$C$131:$L$132,2,FALSE))</f>
        <v>0</v>
      </c>
      <c r="R5" s="10">
        <f>IF(ISERROR(HLOOKUP(CFs!$A5,Input!$C$135:$L$136,2,FALSE)),0,HLOOKUP(CFs!$A5,Input!$C$135:$L$136,2,FALSE))</f>
        <v>0</v>
      </c>
      <c r="S5" s="10">
        <f>IF(ISERROR(HLOOKUP(CFs!$A5,Input!$C$137:$L$138,2,FALSE)),0,HLOOKUP(CFs!$A5,Input!$C$137:$L$138,2,FALSE))</f>
        <v>0</v>
      </c>
      <c r="T5" s="10">
        <f>IF(ISERROR(HLOOKUP(CFs!$A5,Input!$C$139:$L$140,2,FALSE)),0,HLOOKUP(CFs!$A5,Input!$C$139:$L$140,2,FALSE))</f>
        <v>0</v>
      </c>
      <c r="U5" s="10">
        <f>IF(ISERROR(HLOOKUP(CFs!$A5,Input!$C$141:$L$142,2,FALSE)),0,HLOOKUP(CFs!$A5,Input!$C$141:$L$142,2,FALSE))</f>
        <v>0</v>
      </c>
      <c r="V5" s="10">
        <f>IF(ISERROR(HLOOKUP(CFs!$A5,Input!$C$143:$L$144,2,FALSE)),0,HLOOKUP(CFs!$A5,Input!$C$143:$L$144,2,FALSE))</f>
        <v>0</v>
      </c>
      <c r="W5" s="10">
        <f>IF(ISERROR(HLOOKUP(CFs!$A5,Input!$C$145:$L$146,2,FALSE)),0,HLOOKUP(CFs!$A5,Input!$C$145:$L$146,2,FALSE))</f>
        <v>0</v>
      </c>
      <c r="X5" s="10">
        <f>IF(ISERROR(HLOOKUP(CFs!$A5,Input!$C$147:$L$148,2,FALSE)),0,HLOOKUP(CFs!$A5,Input!$C$147:$L$148,2,FALSE))</f>
        <v>0</v>
      </c>
      <c r="Y5" s="13">
        <f t="shared" si="2"/>
        <v>0</v>
      </c>
      <c r="Z5" s="10">
        <f>IF(ISERROR(HLOOKUP(CFs!$A5,Input!$C$152:$L$153,2,FALSE)),0,HLOOKUP(CFs!$A5,Input!$C$152:$L$153,2,FALSE))</f>
        <v>0</v>
      </c>
      <c r="AA5" s="10">
        <f>IF(ISERROR(HLOOKUP(CFs!$A5,Input!$C$149:$L$150,2,FALSE)),0,HLOOKUP(CFs!$A5,Input!$C$149:$L$150,2,FALSE))</f>
        <v>0</v>
      </c>
      <c r="AB5" s="10">
        <f>IF(ISERROR(HLOOKUP(CFs!$A5,Input!$C$151:$L$154,2,FALSE)),0,HLOOKUP(CFs!$A5,Input!$C$151:$L$154,2,FALSE))</f>
        <v>0</v>
      </c>
      <c r="AC5">
        <f t="shared" si="1"/>
        <v>0</v>
      </c>
      <c r="AD5" s="1" cm="1">
        <f t="array" ref="AD5">FirmaCashflow(Input!$C$165,Input!$C$166,Input!$C$163,Input!$D$163,CFs!A5)</f>
        <v>15833.333333333332</v>
      </c>
      <c r="AE5" s="2">
        <f>D5+G5+J5+Y5+AC5+AD5</f>
        <v>-208999.99999999997</v>
      </c>
      <c r="AF5" s="2">
        <f t="shared" ref="AF5:AF68" si="3">AF4+AE5</f>
        <v>-16743500</v>
      </c>
    </row>
    <row r="6" spans="1:32" x14ac:dyDescent="0.25">
      <c r="A6">
        <v>4</v>
      </c>
      <c r="B6" s="1">
        <f>Input!$C$78/12</f>
        <v>0</v>
      </c>
      <c r="C6" s="1">
        <f>Input!$C$79/12</f>
        <v>0</v>
      </c>
      <c r="D6" s="2">
        <f>SUM(B6:C6)</f>
        <v>0</v>
      </c>
      <c r="E6" s="1">
        <f>Input!$C$82/12</f>
        <v>0</v>
      </c>
      <c r="F6" s="1">
        <f>Input!$C$83/12</f>
        <v>0</v>
      </c>
      <c r="G6" s="2">
        <f>SUM(E6:F6)</f>
        <v>0</v>
      </c>
      <c r="H6" s="1">
        <f>Input!$C$110/12</f>
        <v>-133000</v>
      </c>
      <c r="I6" s="1">
        <f>Input!$C$111/12</f>
        <v>-91833.333333333328</v>
      </c>
      <c r="J6" s="10">
        <f t="shared" si="0"/>
        <v>-224833.33333333331</v>
      </c>
      <c r="K6" s="10">
        <f>IF(ISERROR(HLOOKUP(CFs!A6,Input!$C$115:$L$117,2,FALSE)),0,HLOOKUP(CFs!A6,Input!$C$115:$L$117,2,FALSE))</f>
        <v>0</v>
      </c>
      <c r="L6" s="10">
        <f>IF(ISERROR(HLOOKUP(CFs!A6,Input!$C$115:$L$117,3,FALSE)),0,HLOOKUP(CFs!A6,Input!$C$115:$L$117,3,FALSE))</f>
        <v>0</v>
      </c>
      <c r="M6" s="10">
        <f>IF(ISERROR(HLOOKUP(CFs!$A6,Input!$C$119:$L$120,2,FALSE)),0,HLOOKUP(CFs!$A6,Input!$C$119:$L$120,2,FALSE))</f>
        <v>0</v>
      </c>
      <c r="N6" s="10">
        <f>IF(ISERROR(HLOOKUP(CFs!$A6,Input!$C$123:$L$124,2,FALSE)),0,HLOOKUP(CFs!$A6,Input!$C$123:$L$124,2,FALSE))</f>
        <v>0</v>
      </c>
      <c r="O6" s="10">
        <f>IF(ISERROR(HLOOKUP(CFs!$A6,Input!$C$125:$L$126,2,FALSE)),0,HLOOKUP(CFs!$A6,Input!$C$125:$L$126,2,FALSE))</f>
        <v>0</v>
      </c>
      <c r="P6" s="10">
        <f>IF(ISERROR(HLOOKUP(CFs!$A6,Input!$C$129:$L$130,2,FALSE)),0,HLOOKUP(CFs!$A6,Input!$C$129:$L$130,2,FALSE))</f>
        <v>0</v>
      </c>
      <c r="Q6" s="10">
        <f>IF(ISERROR(HLOOKUP(CFs!$A6,Input!$C$131:$L$132,2,FALSE)),0,HLOOKUP(CFs!$A6,Input!$C$131:$L$132,2,FALSE))</f>
        <v>0</v>
      </c>
      <c r="R6" s="10">
        <f>IF(ISERROR(HLOOKUP(CFs!$A6,Input!$C$135:$L$136,2,FALSE)),0,HLOOKUP(CFs!$A6,Input!$C$135:$L$136,2,FALSE))</f>
        <v>0</v>
      </c>
      <c r="S6" s="10">
        <f>IF(ISERROR(HLOOKUP(CFs!$A6,Input!$C$137:$L$138,2,FALSE)),0,HLOOKUP(CFs!$A6,Input!$C$137:$L$138,2,FALSE))</f>
        <v>0</v>
      </c>
      <c r="T6" s="10">
        <f>IF(ISERROR(HLOOKUP(CFs!$A6,Input!$C$139:$L$140,2,FALSE)),0,HLOOKUP(CFs!$A6,Input!$C$139:$L$140,2,FALSE))</f>
        <v>0</v>
      </c>
      <c r="U6" s="10">
        <f>IF(ISERROR(HLOOKUP(CFs!$A6,Input!$C$141:$L$142,2,FALSE)),0,HLOOKUP(CFs!$A6,Input!$C$141:$L$142,2,FALSE))</f>
        <v>0</v>
      </c>
      <c r="V6" s="10">
        <f>IF(ISERROR(HLOOKUP(CFs!$A6,Input!$C$143:$L$144,2,FALSE)),0,HLOOKUP(CFs!$A6,Input!$C$143:$L$144,2,FALSE))</f>
        <v>0</v>
      </c>
      <c r="W6" s="10">
        <f>IF(ISERROR(HLOOKUP(CFs!$A6,Input!$C$145:$L$146,2,FALSE)),0,HLOOKUP(CFs!$A6,Input!$C$145:$L$146,2,FALSE))</f>
        <v>0</v>
      </c>
      <c r="X6" s="10">
        <f>IF(ISERROR(HLOOKUP(CFs!$A6,Input!$C$147:$L$148,2,FALSE)),0,HLOOKUP(CFs!$A6,Input!$C$147:$L$148,2,FALSE))</f>
        <v>0</v>
      </c>
      <c r="Y6" s="13">
        <f t="shared" si="2"/>
        <v>0</v>
      </c>
      <c r="Z6" s="10">
        <f>IF(ISERROR(HLOOKUP(CFs!$A6,Input!$C$152:$L$153,2,FALSE)),0,HLOOKUP(CFs!$A6,Input!$C$152:$L$153,2,FALSE))</f>
        <v>0</v>
      </c>
      <c r="AA6" s="10">
        <f>IF(ISERROR(HLOOKUP(CFs!$A6,Input!$C$149:$L$150,2,FALSE)),0,HLOOKUP(CFs!$A6,Input!$C$149:$L$150,2,FALSE))</f>
        <v>0</v>
      </c>
      <c r="AB6" s="10">
        <f>IF(ISERROR(HLOOKUP(CFs!$A6,Input!$C$151:$L$154,2,FALSE)),0,HLOOKUP(CFs!$A6,Input!$C$151:$L$154,2,FALSE))</f>
        <v>0</v>
      </c>
      <c r="AC6">
        <f t="shared" si="1"/>
        <v>0</v>
      </c>
      <c r="AD6" s="1" cm="1">
        <f t="array" ref="AD6">FirmaCashflow(Input!$C$165,Input!$C$166,Input!$C$163,Input!$D$163,CFs!A6)</f>
        <v>15833.333333333332</v>
      </c>
      <c r="AE6" s="2">
        <f>D6+G6+J6+Y6+AC6+AD6</f>
        <v>-208999.99999999997</v>
      </c>
      <c r="AF6" s="2">
        <f t="shared" si="3"/>
        <v>-16952500</v>
      </c>
    </row>
    <row r="7" spans="1:32" x14ac:dyDescent="0.25">
      <c r="A7">
        <v>5</v>
      </c>
      <c r="B7" s="1">
        <f>Input!$C$78/12</f>
        <v>0</v>
      </c>
      <c r="C7" s="1">
        <f>Input!$C$79/12</f>
        <v>0</v>
      </c>
      <c r="D7" s="2">
        <f>SUM(B7:C7)</f>
        <v>0</v>
      </c>
      <c r="E7" s="1">
        <f>Input!$C$82/12</f>
        <v>0</v>
      </c>
      <c r="F7" s="1">
        <f>Input!$C$83/12</f>
        <v>0</v>
      </c>
      <c r="G7" s="2">
        <f>SUM(E7:F7)</f>
        <v>0</v>
      </c>
      <c r="H7" s="1">
        <f>Input!$C$110/12</f>
        <v>-133000</v>
      </c>
      <c r="I7" s="1">
        <f>Input!$C$111/12</f>
        <v>-91833.333333333328</v>
      </c>
      <c r="J7" s="10">
        <f t="shared" si="0"/>
        <v>-224833.33333333331</v>
      </c>
      <c r="K7" s="10">
        <f>IF(ISERROR(HLOOKUP(CFs!A7,Input!$C$115:$L$117,2,FALSE)),0,HLOOKUP(CFs!A7,Input!$C$115:$L$117,2,FALSE))</f>
        <v>0</v>
      </c>
      <c r="L7" s="10">
        <f>IF(ISERROR(HLOOKUP(CFs!A7,Input!$C$115:$L$117,3,FALSE)),0,HLOOKUP(CFs!A7,Input!$C$115:$L$117,3,FALSE))</f>
        <v>0</v>
      </c>
      <c r="M7" s="10">
        <f>IF(ISERROR(HLOOKUP(CFs!$A7,Input!$C$119:$L$120,2,FALSE)),0,HLOOKUP(CFs!$A7,Input!$C$119:$L$120,2,FALSE))</f>
        <v>0</v>
      </c>
      <c r="N7" s="10">
        <f>IF(ISERROR(HLOOKUP(CFs!$A7,Input!$C$123:$L$124,2,FALSE)),0,HLOOKUP(CFs!$A7,Input!$C$123:$L$124,2,FALSE))</f>
        <v>0</v>
      </c>
      <c r="O7" s="10">
        <f>IF(ISERROR(HLOOKUP(CFs!$A7,Input!$C$125:$L$126,2,FALSE)),0,HLOOKUP(CFs!$A7,Input!$C$125:$L$126,2,FALSE))</f>
        <v>0</v>
      </c>
      <c r="P7" s="10">
        <f>IF(ISERROR(HLOOKUP(CFs!$A7,Input!$C$129:$L$130,2,FALSE)),0,HLOOKUP(CFs!$A7,Input!$C$129:$L$130,2,FALSE))</f>
        <v>0</v>
      </c>
      <c r="Q7" s="10">
        <f>IF(ISERROR(HLOOKUP(CFs!$A7,Input!$C$131:$L$132,2,FALSE)),0,HLOOKUP(CFs!$A7,Input!$C$131:$L$132,2,FALSE))</f>
        <v>0</v>
      </c>
      <c r="R7" s="10">
        <f>IF(ISERROR(HLOOKUP(CFs!$A7,Input!$C$135:$L$136,2,FALSE)),0,HLOOKUP(CFs!$A7,Input!$C$135:$L$136,2,FALSE))</f>
        <v>0</v>
      </c>
      <c r="S7" s="10">
        <f>IF(ISERROR(HLOOKUP(CFs!$A7,Input!$C$137:$L$138,2,FALSE)),0,HLOOKUP(CFs!$A7,Input!$C$137:$L$138,2,FALSE))</f>
        <v>0</v>
      </c>
      <c r="T7" s="10">
        <f>IF(ISERROR(HLOOKUP(CFs!$A7,Input!$C$139:$L$140,2,FALSE)),0,HLOOKUP(CFs!$A7,Input!$C$139:$L$140,2,FALSE))</f>
        <v>0</v>
      </c>
      <c r="U7" s="10">
        <f>IF(ISERROR(HLOOKUP(CFs!$A7,Input!$C$141:$L$142,2,FALSE)),0,HLOOKUP(CFs!$A7,Input!$C$141:$L$142,2,FALSE))</f>
        <v>0</v>
      </c>
      <c r="V7" s="10">
        <f>IF(ISERROR(HLOOKUP(CFs!$A7,Input!$C$143:$L$144,2,FALSE)),0,HLOOKUP(CFs!$A7,Input!$C$143:$L$144,2,FALSE))</f>
        <v>0</v>
      </c>
      <c r="W7" s="10">
        <f>IF(ISERROR(HLOOKUP(CFs!$A7,Input!$C$145:$L$146,2,FALSE)),0,HLOOKUP(CFs!$A7,Input!$C$145:$L$146,2,FALSE))</f>
        <v>0</v>
      </c>
      <c r="X7" s="10">
        <f>IF(ISERROR(HLOOKUP(CFs!$A7,Input!$C$147:$L$148,2,FALSE)),0,HLOOKUP(CFs!$A7,Input!$C$147:$L$148,2,FALSE))</f>
        <v>0</v>
      </c>
      <c r="Y7" s="13">
        <f t="shared" si="2"/>
        <v>0</v>
      </c>
      <c r="Z7" s="10">
        <f>IF(ISERROR(HLOOKUP(CFs!$A7,Input!$C$152:$L$153,2,FALSE)),0,HLOOKUP(CFs!$A7,Input!$C$152:$L$153,2,FALSE))</f>
        <v>0</v>
      </c>
      <c r="AA7" s="10">
        <f>IF(ISERROR(HLOOKUP(CFs!$A7,Input!$C$149:$L$150,2,FALSE)),0,HLOOKUP(CFs!$A7,Input!$C$149:$L$150,2,FALSE))</f>
        <v>0</v>
      </c>
      <c r="AB7" s="10">
        <f>IF(ISERROR(HLOOKUP(CFs!$A7,Input!$C$151:$L$154,2,FALSE)),0,HLOOKUP(CFs!$A7,Input!$C$151:$L$154,2,FALSE))</f>
        <v>0</v>
      </c>
      <c r="AC7">
        <f t="shared" si="1"/>
        <v>0</v>
      </c>
      <c r="AD7" s="1" cm="1">
        <f t="array" ref="AD7">FirmaCashflow(Input!$C$165,Input!$C$166,Input!$C$163,Input!$D$163,CFs!A7)</f>
        <v>15833.333333333332</v>
      </c>
      <c r="AE7" s="2">
        <f>D7+G7+J7+Y7+AC7+AD7</f>
        <v>-208999.99999999997</v>
      </c>
      <c r="AF7" s="2">
        <f t="shared" si="3"/>
        <v>-17161500</v>
      </c>
    </row>
    <row r="8" spans="1:32" x14ac:dyDescent="0.25">
      <c r="A8">
        <v>6</v>
      </c>
      <c r="B8" s="1">
        <f>Input!$C$78/12</f>
        <v>0</v>
      </c>
      <c r="C8" s="1">
        <f>Input!$C$79/12</f>
        <v>0</v>
      </c>
      <c r="D8" s="2">
        <f>SUM(B8:C8)</f>
        <v>0</v>
      </c>
      <c r="E8" s="1">
        <f>Input!$C$82/12</f>
        <v>0</v>
      </c>
      <c r="F8" s="1">
        <f>Input!$C$83/12</f>
        <v>0</v>
      </c>
      <c r="G8" s="2">
        <f>SUM(E8:F8)</f>
        <v>0</v>
      </c>
      <c r="H8" s="1">
        <f>Input!$C$110/12</f>
        <v>-133000</v>
      </c>
      <c r="I8" s="1">
        <f>Input!$C$111/12</f>
        <v>-91833.333333333328</v>
      </c>
      <c r="J8" s="10">
        <f t="shared" si="0"/>
        <v>-224833.33333333331</v>
      </c>
      <c r="K8" s="10">
        <f>IF(ISERROR(HLOOKUP(CFs!A8,Input!$C$115:$L$117,2,FALSE)),0,HLOOKUP(CFs!A8,Input!$C$115:$L$117,2,FALSE))</f>
        <v>0</v>
      </c>
      <c r="L8" s="10">
        <f>IF(ISERROR(HLOOKUP(CFs!A8,Input!$C$115:$L$117,3,FALSE)),0,HLOOKUP(CFs!A8,Input!$C$115:$L$117,3,FALSE))</f>
        <v>0</v>
      </c>
      <c r="M8" s="10">
        <f>IF(ISERROR(HLOOKUP(CFs!$A8,Input!$C$119:$L$120,2,FALSE)),0,HLOOKUP(CFs!$A8,Input!$C$119:$L$120,2,FALSE))</f>
        <v>-300000</v>
      </c>
      <c r="N8" s="10">
        <f>IF(ISERROR(HLOOKUP(CFs!$A8,Input!$C$123:$L$124,2,FALSE)),0,HLOOKUP(CFs!$A8,Input!$C$123:$L$124,2,FALSE))</f>
        <v>0</v>
      </c>
      <c r="O8" s="10">
        <f>IF(ISERROR(HLOOKUP(CFs!$A8,Input!$C$125:$L$126,2,FALSE)),0,HLOOKUP(CFs!$A8,Input!$C$125:$L$126,2,FALSE))</f>
        <v>0</v>
      </c>
      <c r="P8" s="10">
        <f>IF(ISERROR(HLOOKUP(CFs!$A8,Input!$C$129:$L$130,2,FALSE)),0,HLOOKUP(CFs!$A8,Input!$C$129:$L$130,2,FALSE))</f>
        <v>0</v>
      </c>
      <c r="Q8" s="10">
        <f>IF(ISERROR(HLOOKUP(CFs!$A8,Input!$C$131:$L$132,2,FALSE)),0,HLOOKUP(CFs!$A8,Input!$C$131:$L$132,2,FALSE))</f>
        <v>0</v>
      </c>
      <c r="R8" s="10">
        <f>IF(ISERROR(HLOOKUP(CFs!$A8,Input!$C$135:$L$136,2,FALSE)),0,HLOOKUP(CFs!$A8,Input!$C$135:$L$136,2,FALSE))</f>
        <v>0</v>
      </c>
      <c r="S8" s="10">
        <f>IF(ISERROR(HLOOKUP(CFs!$A8,Input!$C$137:$L$138,2,FALSE)),0,HLOOKUP(CFs!$A8,Input!$C$137:$L$138,2,FALSE))</f>
        <v>0</v>
      </c>
      <c r="T8" s="10">
        <f>IF(ISERROR(HLOOKUP(CFs!$A8,Input!$C$139:$L$140,2,FALSE)),0,HLOOKUP(CFs!$A8,Input!$C$139:$L$140,2,FALSE))</f>
        <v>0</v>
      </c>
      <c r="U8" s="10">
        <f>IF(ISERROR(HLOOKUP(CFs!$A8,Input!$C$141:$L$142,2,FALSE)),0,HLOOKUP(CFs!$A8,Input!$C$141:$L$142,2,FALSE))</f>
        <v>0</v>
      </c>
      <c r="V8" s="10">
        <f>IF(ISERROR(HLOOKUP(CFs!$A8,Input!$C$143:$L$144,2,FALSE)),0,HLOOKUP(CFs!$A8,Input!$C$143:$L$144,2,FALSE))</f>
        <v>0</v>
      </c>
      <c r="W8" s="10">
        <f>IF(ISERROR(HLOOKUP(CFs!$A8,Input!$C$145:$L$146,2,FALSE)),0,HLOOKUP(CFs!$A8,Input!$C$145:$L$146,2,FALSE))</f>
        <v>0</v>
      </c>
      <c r="X8" s="10">
        <f>IF(ISERROR(HLOOKUP(CFs!$A8,Input!$C$147:$L$148,2,FALSE)),0,HLOOKUP(CFs!$A8,Input!$C$147:$L$148,2,FALSE))</f>
        <v>0</v>
      </c>
      <c r="Y8" s="13">
        <f t="shared" si="2"/>
        <v>-300000</v>
      </c>
      <c r="Z8" s="10">
        <f>IF(ISERROR(HLOOKUP(CFs!$A8,Input!$C$152:$L$153,2,FALSE)),0,HLOOKUP(CFs!$A8,Input!$C$152:$L$153,2,FALSE))</f>
        <v>0</v>
      </c>
      <c r="AA8" s="10">
        <f>IF(ISERROR(HLOOKUP(CFs!$A8,Input!$C$149:$L$150,2,FALSE)),0,HLOOKUP(CFs!$A8,Input!$C$149:$L$150,2,FALSE))</f>
        <v>0</v>
      </c>
      <c r="AB8" s="10">
        <f>IF(ISERROR(HLOOKUP(CFs!$A8,Input!$C$151:$L$154,2,FALSE)),0,HLOOKUP(CFs!$A8,Input!$C$151:$L$154,2,FALSE))</f>
        <v>0</v>
      </c>
      <c r="AC8">
        <f t="shared" si="1"/>
        <v>0</v>
      </c>
      <c r="AD8" s="1" cm="1">
        <f t="array" ref="AD8">FirmaCashflow(Input!$C$165,Input!$C$166,Input!$C$163,Input!$D$163,CFs!A8)</f>
        <v>15833.333333333332</v>
      </c>
      <c r="AE8" s="2">
        <f>D8+G8+J8+Y8+AC8+AD8</f>
        <v>-508999.99999999994</v>
      </c>
      <c r="AF8" s="2">
        <f t="shared" si="3"/>
        <v>-17670500</v>
      </c>
    </row>
    <row r="9" spans="1:32" x14ac:dyDescent="0.25">
      <c r="A9">
        <v>7</v>
      </c>
      <c r="B9" s="1">
        <f>Input!$C$78/12</f>
        <v>0</v>
      </c>
      <c r="C9" s="1">
        <f>Input!$C$79/12</f>
        <v>0</v>
      </c>
      <c r="D9" s="2">
        <f>SUM(B9:C9)</f>
        <v>0</v>
      </c>
      <c r="E9" s="1">
        <f>Input!$C$82/12</f>
        <v>0</v>
      </c>
      <c r="F9" s="1">
        <f>Input!$C$83/12</f>
        <v>0</v>
      </c>
      <c r="G9" s="2">
        <f>SUM(E9:F9)</f>
        <v>0</v>
      </c>
      <c r="H9" s="1">
        <f>Input!$C$110/12</f>
        <v>-133000</v>
      </c>
      <c r="I9" s="1">
        <f>Input!$C$111/12</f>
        <v>-91833.333333333328</v>
      </c>
      <c r="J9" s="10">
        <f t="shared" si="0"/>
        <v>-224833.33333333331</v>
      </c>
      <c r="K9" s="10">
        <f>IF(ISERROR(HLOOKUP(CFs!A9,Input!$C$115:$L$117,2,FALSE)),0,HLOOKUP(CFs!A9,Input!$C$115:$L$117,2,FALSE))</f>
        <v>0</v>
      </c>
      <c r="L9" s="10">
        <f>IF(ISERROR(HLOOKUP(CFs!A9,Input!$C$115:$L$117,3,FALSE)),0,HLOOKUP(CFs!A9,Input!$C$115:$L$117,3,FALSE))</f>
        <v>0</v>
      </c>
      <c r="M9" s="10">
        <f>IF(ISERROR(HLOOKUP(CFs!$A9,Input!$C$119:$L$120,2,FALSE)),0,HLOOKUP(CFs!$A9,Input!$C$119:$L$120,2,FALSE))</f>
        <v>0</v>
      </c>
      <c r="N9" s="10">
        <f>IF(ISERROR(HLOOKUP(CFs!$A9,Input!$C$123:$L$124,2,FALSE)),0,HLOOKUP(CFs!$A9,Input!$C$123:$L$124,2,FALSE))</f>
        <v>0</v>
      </c>
      <c r="O9" s="10">
        <f>IF(ISERROR(HLOOKUP(CFs!$A9,Input!$C$125:$L$126,2,FALSE)),0,HLOOKUP(CFs!$A9,Input!$C$125:$L$126,2,FALSE))</f>
        <v>0</v>
      </c>
      <c r="P9" s="10">
        <f>IF(ISERROR(HLOOKUP(CFs!$A9,Input!$C$129:$L$130,2,FALSE)),0,HLOOKUP(CFs!$A9,Input!$C$129:$L$130,2,FALSE))</f>
        <v>0</v>
      </c>
      <c r="Q9" s="10">
        <f>IF(ISERROR(HLOOKUP(CFs!$A9,Input!$C$131:$L$132,2,FALSE)),0,HLOOKUP(CFs!$A9,Input!$C$131:$L$132,2,FALSE))</f>
        <v>0</v>
      </c>
      <c r="R9" s="10">
        <f>IF(ISERROR(HLOOKUP(CFs!$A9,Input!$C$135:$L$136,2,FALSE)),0,HLOOKUP(CFs!$A9,Input!$C$135:$L$136,2,FALSE))</f>
        <v>0</v>
      </c>
      <c r="S9" s="10">
        <f>IF(ISERROR(HLOOKUP(CFs!$A9,Input!$C$137:$L$138,2,FALSE)),0,HLOOKUP(CFs!$A9,Input!$C$137:$L$138,2,FALSE))</f>
        <v>0</v>
      </c>
      <c r="T9" s="10">
        <f>IF(ISERROR(HLOOKUP(CFs!$A9,Input!$C$139:$L$140,2,FALSE)),0,HLOOKUP(CFs!$A9,Input!$C$139:$L$140,2,FALSE))</f>
        <v>0</v>
      </c>
      <c r="U9" s="10">
        <f>IF(ISERROR(HLOOKUP(CFs!$A9,Input!$C$141:$L$142,2,FALSE)),0,HLOOKUP(CFs!$A9,Input!$C$141:$L$142,2,FALSE))</f>
        <v>0</v>
      </c>
      <c r="V9" s="10">
        <f>IF(ISERROR(HLOOKUP(CFs!$A9,Input!$C$143:$L$144,2,FALSE)),0,HLOOKUP(CFs!$A9,Input!$C$143:$L$144,2,FALSE))</f>
        <v>0</v>
      </c>
      <c r="W9" s="10">
        <f>IF(ISERROR(HLOOKUP(CFs!$A9,Input!$C$145:$L$146,2,FALSE)),0,HLOOKUP(CFs!$A9,Input!$C$145:$L$146,2,FALSE))</f>
        <v>0</v>
      </c>
      <c r="X9" s="10">
        <f>IF(ISERROR(HLOOKUP(CFs!$A9,Input!$C$147:$L$148,2,FALSE)),0,HLOOKUP(CFs!$A9,Input!$C$147:$L$148,2,FALSE))</f>
        <v>0</v>
      </c>
      <c r="Y9" s="13">
        <f t="shared" si="2"/>
        <v>0</v>
      </c>
      <c r="Z9" s="10">
        <f>IF(ISERROR(HLOOKUP(CFs!$A9,Input!$C$152:$L$153,2,FALSE)),0,HLOOKUP(CFs!$A9,Input!$C$152:$L$153,2,FALSE))</f>
        <v>0</v>
      </c>
      <c r="AA9" s="10">
        <f>IF(ISERROR(HLOOKUP(CFs!$A9,Input!$C$149:$L$150,2,FALSE)),0,HLOOKUP(CFs!$A9,Input!$C$149:$L$150,2,FALSE))</f>
        <v>0</v>
      </c>
      <c r="AB9" s="10">
        <f>IF(ISERROR(HLOOKUP(CFs!$A9,Input!$C$151:$L$154,2,FALSE)),0,HLOOKUP(CFs!$A9,Input!$C$151:$L$154,2,FALSE))</f>
        <v>0</v>
      </c>
      <c r="AC9">
        <f t="shared" si="1"/>
        <v>0</v>
      </c>
      <c r="AD9" s="1" cm="1">
        <f t="array" ref="AD9">FirmaCashflow(Input!$C$165,Input!$C$166,Input!$C$163,Input!$D$163,CFs!A9)</f>
        <v>15833.333333333332</v>
      </c>
      <c r="AE9" s="2">
        <f>D9+G9+J9+Y9+AC9+AD9</f>
        <v>-208999.99999999997</v>
      </c>
      <c r="AF9" s="2">
        <f t="shared" si="3"/>
        <v>-17879500</v>
      </c>
    </row>
    <row r="10" spans="1:32" x14ac:dyDescent="0.25">
      <c r="A10">
        <v>8</v>
      </c>
      <c r="B10" s="1">
        <f>Input!$C$78/12</f>
        <v>0</v>
      </c>
      <c r="C10" s="1">
        <f>Input!$C$79/12</f>
        <v>0</v>
      </c>
      <c r="D10" s="2">
        <f>SUM(B10:C10)</f>
        <v>0</v>
      </c>
      <c r="E10" s="1">
        <f>Input!$C$82/12</f>
        <v>0</v>
      </c>
      <c r="F10" s="1">
        <f>Input!$C$83/12</f>
        <v>0</v>
      </c>
      <c r="G10" s="2">
        <f>SUM(E10:F10)</f>
        <v>0</v>
      </c>
      <c r="H10" s="1">
        <f>Input!$C$110/12</f>
        <v>-133000</v>
      </c>
      <c r="I10" s="1">
        <f>Input!$C$111/12</f>
        <v>-91833.333333333328</v>
      </c>
      <c r="J10" s="10">
        <f t="shared" si="0"/>
        <v>-224833.33333333331</v>
      </c>
      <c r="K10" s="10">
        <f>IF(ISERROR(HLOOKUP(CFs!A10,Input!$C$115:$L$117,2,FALSE)),0,HLOOKUP(CFs!A10,Input!$C$115:$L$117,2,FALSE))</f>
        <v>0</v>
      </c>
      <c r="L10" s="10">
        <f>IF(ISERROR(HLOOKUP(CFs!A10,Input!$C$115:$L$117,3,FALSE)),0,HLOOKUP(CFs!A10,Input!$C$115:$L$117,3,FALSE))</f>
        <v>0</v>
      </c>
      <c r="M10" s="10">
        <f>IF(ISERROR(HLOOKUP(CFs!$A10,Input!$C$119:$L$120,2,FALSE)),0,HLOOKUP(CFs!$A10,Input!$C$119:$L$120,2,FALSE))</f>
        <v>0</v>
      </c>
      <c r="N10" s="10">
        <f>IF(ISERROR(HLOOKUP(CFs!$A10,Input!$C$123:$L$124,2,FALSE)),0,HLOOKUP(CFs!$A10,Input!$C$123:$L$124,2,FALSE))</f>
        <v>0</v>
      </c>
      <c r="O10" s="10">
        <f>IF(ISERROR(HLOOKUP(CFs!$A10,Input!$C$125:$L$126,2,FALSE)),0,HLOOKUP(CFs!$A10,Input!$C$125:$L$126,2,FALSE))</f>
        <v>0</v>
      </c>
      <c r="P10" s="10">
        <f>IF(ISERROR(HLOOKUP(CFs!$A10,Input!$C$129:$L$130,2,FALSE)),0,HLOOKUP(CFs!$A10,Input!$C$129:$L$130,2,FALSE))</f>
        <v>0</v>
      </c>
      <c r="Q10" s="10">
        <f>IF(ISERROR(HLOOKUP(CFs!$A10,Input!$C$131:$L$132,2,FALSE)),0,HLOOKUP(CFs!$A10,Input!$C$131:$L$132,2,FALSE))</f>
        <v>0</v>
      </c>
      <c r="R10" s="10">
        <f>IF(ISERROR(HLOOKUP(CFs!$A10,Input!$C$135:$L$136,2,FALSE)),0,HLOOKUP(CFs!$A10,Input!$C$135:$L$136,2,FALSE))</f>
        <v>0</v>
      </c>
      <c r="S10" s="10">
        <f>IF(ISERROR(HLOOKUP(CFs!$A10,Input!$C$137:$L$138,2,FALSE)),0,HLOOKUP(CFs!$A10,Input!$C$137:$L$138,2,FALSE))</f>
        <v>0</v>
      </c>
      <c r="T10" s="10">
        <f>IF(ISERROR(HLOOKUP(CFs!$A10,Input!$C$139:$L$140,2,FALSE)),0,HLOOKUP(CFs!$A10,Input!$C$139:$L$140,2,FALSE))</f>
        <v>0</v>
      </c>
      <c r="U10" s="10">
        <f>IF(ISERROR(HLOOKUP(CFs!$A10,Input!$C$141:$L$142,2,FALSE)),0,HLOOKUP(CFs!$A10,Input!$C$141:$L$142,2,FALSE))</f>
        <v>0</v>
      </c>
      <c r="V10" s="10">
        <f>IF(ISERROR(HLOOKUP(CFs!$A10,Input!$C$143:$L$144,2,FALSE)),0,HLOOKUP(CFs!$A10,Input!$C$143:$L$144,2,FALSE))</f>
        <v>0</v>
      </c>
      <c r="W10" s="10">
        <f>IF(ISERROR(HLOOKUP(CFs!$A10,Input!$C$145:$L$146,2,FALSE)),0,HLOOKUP(CFs!$A10,Input!$C$145:$L$146,2,FALSE))</f>
        <v>0</v>
      </c>
      <c r="X10" s="10">
        <f>IF(ISERROR(HLOOKUP(CFs!$A10,Input!$C$147:$L$148,2,FALSE)),0,HLOOKUP(CFs!$A10,Input!$C$147:$L$148,2,FALSE))</f>
        <v>0</v>
      </c>
      <c r="Y10" s="13">
        <f t="shared" si="2"/>
        <v>0</v>
      </c>
      <c r="Z10" s="10">
        <f>IF(ISERROR(HLOOKUP(CFs!$A10,Input!$C$152:$L$153,2,FALSE)),0,HLOOKUP(CFs!$A10,Input!$C$152:$L$153,2,FALSE))</f>
        <v>0</v>
      </c>
      <c r="AA10" s="10">
        <f>IF(ISERROR(HLOOKUP(CFs!$A10,Input!$C$149:$L$150,2,FALSE)),0,HLOOKUP(CFs!$A10,Input!$C$149:$L$150,2,FALSE))</f>
        <v>0</v>
      </c>
      <c r="AB10" s="10">
        <f>IF(ISERROR(HLOOKUP(CFs!$A10,Input!$C$151:$L$154,2,FALSE)),0,HLOOKUP(CFs!$A10,Input!$C$151:$L$154,2,FALSE))</f>
        <v>0</v>
      </c>
      <c r="AC10">
        <f t="shared" si="1"/>
        <v>0</v>
      </c>
      <c r="AD10" s="1" cm="1">
        <f t="array" ref="AD10">FirmaCashflow(Input!$C$165,Input!$C$166,Input!$C$163,Input!$D$163,CFs!A10)</f>
        <v>15833.333333333332</v>
      </c>
      <c r="AE10" s="2">
        <f>D10+G10+J10+Y10+AC10+AD10</f>
        <v>-208999.99999999997</v>
      </c>
      <c r="AF10" s="2">
        <f t="shared" si="3"/>
        <v>-18088500</v>
      </c>
    </row>
    <row r="11" spans="1:32" x14ac:dyDescent="0.25">
      <c r="A11">
        <v>9</v>
      </c>
      <c r="B11" s="1">
        <f>Input!$C$78/12</f>
        <v>0</v>
      </c>
      <c r="C11" s="1">
        <f>Input!$C$79/12</f>
        <v>0</v>
      </c>
      <c r="D11" s="2">
        <f>SUM(B11:C11)</f>
        <v>0</v>
      </c>
      <c r="E11" s="1">
        <f>Input!$C$82/12</f>
        <v>0</v>
      </c>
      <c r="F11" s="1">
        <f>Input!$C$83/12</f>
        <v>0</v>
      </c>
      <c r="G11" s="2">
        <f>SUM(E11:F11)</f>
        <v>0</v>
      </c>
      <c r="H11" s="1">
        <f>Input!$C$110/12</f>
        <v>-133000</v>
      </c>
      <c r="I11" s="1">
        <f>Input!$C$111/12</f>
        <v>-91833.333333333328</v>
      </c>
      <c r="J11" s="10">
        <f t="shared" si="0"/>
        <v>-224833.33333333331</v>
      </c>
      <c r="K11" s="10">
        <f>IF(ISERROR(HLOOKUP(CFs!A11,Input!$C$115:$L$117,2,FALSE)),0,HLOOKUP(CFs!A11,Input!$C$115:$L$117,2,FALSE))</f>
        <v>0</v>
      </c>
      <c r="L11" s="10">
        <f>IF(ISERROR(HLOOKUP(CFs!A11,Input!$C$115:$L$117,3,FALSE)),0,HLOOKUP(CFs!A11,Input!$C$115:$L$117,3,FALSE))</f>
        <v>0</v>
      </c>
      <c r="M11" s="10">
        <f>IF(ISERROR(HLOOKUP(CFs!$A11,Input!$C$119:$L$120,2,FALSE)),0,HLOOKUP(CFs!$A11,Input!$C$119:$L$120,2,FALSE))</f>
        <v>0</v>
      </c>
      <c r="N11" s="10">
        <f>IF(ISERROR(HLOOKUP(CFs!$A11,Input!$C$123:$L$124,2,FALSE)),0,HLOOKUP(CFs!$A11,Input!$C$123:$L$124,2,FALSE))</f>
        <v>0</v>
      </c>
      <c r="O11" s="10">
        <f>IF(ISERROR(HLOOKUP(CFs!$A11,Input!$C$125:$L$126,2,FALSE)),0,HLOOKUP(CFs!$A11,Input!$C$125:$L$126,2,FALSE))</f>
        <v>0</v>
      </c>
      <c r="P11" s="10">
        <f>IF(ISERROR(HLOOKUP(CFs!$A11,Input!$C$129:$L$130,2,FALSE)),0,HLOOKUP(CFs!$A11,Input!$C$129:$L$130,2,FALSE))</f>
        <v>0</v>
      </c>
      <c r="Q11" s="10">
        <f>IF(ISERROR(HLOOKUP(CFs!$A11,Input!$C$131:$L$132,2,FALSE)),0,HLOOKUP(CFs!$A11,Input!$C$131:$L$132,2,FALSE))</f>
        <v>0</v>
      </c>
      <c r="R11" s="10">
        <f>IF(ISERROR(HLOOKUP(CFs!$A11,Input!$C$135:$L$136,2,FALSE)),0,HLOOKUP(CFs!$A11,Input!$C$135:$L$136,2,FALSE))</f>
        <v>0</v>
      </c>
      <c r="S11" s="10">
        <f>IF(ISERROR(HLOOKUP(CFs!$A11,Input!$C$137:$L$138,2,FALSE)),0,HLOOKUP(CFs!$A11,Input!$C$137:$L$138,2,FALSE))</f>
        <v>0</v>
      </c>
      <c r="T11" s="10">
        <f>IF(ISERROR(HLOOKUP(CFs!$A11,Input!$C$139:$L$140,2,FALSE)),0,HLOOKUP(CFs!$A11,Input!$C$139:$L$140,2,FALSE))</f>
        <v>0</v>
      </c>
      <c r="U11" s="10">
        <f>IF(ISERROR(HLOOKUP(CFs!$A11,Input!$C$141:$L$142,2,FALSE)),0,HLOOKUP(CFs!$A11,Input!$C$141:$L$142,2,FALSE))</f>
        <v>0</v>
      </c>
      <c r="V11" s="10">
        <f>IF(ISERROR(HLOOKUP(CFs!$A11,Input!$C$143:$L$144,2,FALSE)),0,HLOOKUP(CFs!$A11,Input!$C$143:$L$144,2,FALSE))</f>
        <v>0</v>
      </c>
      <c r="W11" s="10">
        <f>IF(ISERROR(HLOOKUP(CFs!$A11,Input!$C$145:$L$146,2,FALSE)),0,HLOOKUP(CFs!$A11,Input!$C$145:$L$146,2,FALSE))</f>
        <v>0</v>
      </c>
      <c r="X11" s="10">
        <f>IF(ISERROR(HLOOKUP(CFs!$A11,Input!$C$147:$L$148,2,FALSE)),0,HLOOKUP(CFs!$A11,Input!$C$147:$L$148,2,FALSE))</f>
        <v>0</v>
      </c>
      <c r="Y11" s="13">
        <f t="shared" si="2"/>
        <v>0</v>
      </c>
      <c r="Z11" s="10">
        <f>IF(ISERROR(HLOOKUP(CFs!$A11,Input!$C$152:$L$153,2,FALSE)),0,HLOOKUP(CFs!$A11,Input!$C$152:$L$153,2,FALSE))</f>
        <v>0</v>
      </c>
      <c r="AA11" s="10">
        <f>IF(ISERROR(HLOOKUP(CFs!$A11,Input!$C$149:$L$150,2,FALSE)),0,HLOOKUP(CFs!$A11,Input!$C$149:$L$150,2,FALSE))</f>
        <v>0</v>
      </c>
      <c r="AB11" s="10">
        <f>IF(ISERROR(HLOOKUP(CFs!$A11,Input!$C$151:$L$154,2,FALSE)),0,HLOOKUP(CFs!$A11,Input!$C$151:$L$154,2,FALSE))</f>
        <v>0</v>
      </c>
      <c r="AC11">
        <f t="shared" si="1"/>
        <v>0</v>
      </c>
      <c r="AD11" s="1" cm="1">
        <f t="array" ref="AD11">FirmaCashflow(Input!$C$165,Input!$C$166,Input!$C$163,Input!$D$163,CFs!A11)</f>
        <v>15833.333333333332</v>
      </c>
      <c r="AE11" s="2">
        <f>D11+G11+J11+Y11+AC11+AD11</f>
        <v>-208999.99999999997</v>
      </c>
      <c r="AF11" s="2">
        <f t="shared" si="3"/>
        <v>-18297500</v>
      </c>
    </row>
    <row r="12" spans="1:32" x14ac:dyDescent="0.25">
      <c r="A12">
        <v>10</v>
      </c>
      <c r="B12" s="1">
        <f>Input!$C$78/12</f>
        <v>0</v>
      </c>
      <c r="C12" s="1">
        <f>Input!$C$79/12</f>
        <v>0</v>
      </c>
      <c r="D12" s="2">
        <f>SUM(B12:C12)</f>
        <v>0</v>
      </c>
      <c r="E12" s="1">
        <f>Input!$C$82/12</f>
        <v>0</v>
      </c>
      <c r="F12" s="1">
        <f>Input!$C$83/12</f>
        <v>0</v>
      </c>
      <c r="G12" s="2">
        <f>SUM(E12:F12)</f>
        <v>0</v>
      </c>
      <c r="H12" s="1">
        <f>Input!$C$110/12</f>
        <v>-133000</v>
      </c>
      <c r="I12" s="1">
        <f>Input!$C$111/12</f>
        <v>-91833.333333333328</v>
      </c>
      <c r="J12" s="10">
        <f t="shared" si="0"/>
        <v>-224833.33333333331</v>
      </c>
      <c r="K12" s="10">
        <f>IF(ISERROR(HLOOKUP(CFs!A12,Input!$C$115:$L$117,2,FALSE)),0,HLOOKUP(CFs!A12,Input!$C$115:$L$117,2,FALSE))</f>
        <v>0</v>
      </c>
      <c r="L12" s="10">
        <f>IF(ISERROR(HLOOKUP(CFs!A12,Input!$C$115:$L$117,3,FALSE)),0,HLOOKUP(CFs!A12,Input!$C$115:$L$117,3,FALSE))</f>
        <v>0</v>
      </c>
      <c r="M12" s="10">
        <f>IF(ISERROR(HLOOKUP(CFs!$A12,Input!$C$119:$L$120,2,FALSE)),0,HLOOKUP(CFs!$A12,Input!$C$119:$L$120,2,FALSE))</f>
        <v>0</v>
      </c>
      <c r="N12" s="10">
        <f>IF(ISERROR(HLOOKUP(CFs!$A12,Input!$C$123:$L$124,2,FALSE)),0,HLOOKUP(CFs!$A12,Input!$C$123:$L$124,2,FALSE))</f>
        <v>0</v>
      </c>
      <c r="O12" s="10">
        <f>IF(ISERROR(HLOOKUP(CFs!$A12,Input!$C$125:$L$126,2,FALSE)),0,HLOOKUP(CFs!$A12,Input!$C$125:$L$126,2,FALSE))</f>
        <v>0</v>
      </c>
      <c r="P12" s="10">
        <f>IF(ISERROR(HLOOKUP(CFs!$A12,Input!$C$129:$L$130,2,FALSE)),0,HLOOKUP(CFs!$A12,Input!$C$129:$L$130,2,FALSE))</f>
        <v>0</v>
      </c>
      <c r="Q12" s="10">
        <f>IF(ISERROR(HLOOKUP(CFs!$A12,Input!$C$131:$L$132,2,FALSE)),0,HLOOKUP(CFs!$A12,Input!$C$131:$L$132,2,FALSE))</f>
        <v>0</v>
      </c>
      <c r="R12" s="10">
        <f>IF(ISERROR(HLOOKUP(CFs!$A12,Input!$C$135:$L$136,2,FALSE)),0,HLOOKUP(CFs!$A12,Input!$C$135:$L$136,2,FALSE))</f>
        <v>0</v>
      </c>
      <c r="S12" s="10">
        <f>IF(ISERROR(HLOOKUP(CFs!$A12,Input!$C$137:$L$138,2,FALSE)),0,HLOOKUP(CFs!$A12,Input!$C$137:$L$138,2,FALSE))</f>
        <v>0</v>
      </c>
      <c r="T12" s="10">
        <f>IF(ISERROR(HLOOKUP(CFs!$A12,Input!$C$139:$L$140,2,FALSE)),0,HLOOKUP(CFs!$A12,Input!$C$139:$L$140,2,FALSE))</f>
        <v>0</v>
      </c>
      <c r="U12" s="10">
        <f>IF(ISERROR(HLOOKUP(CFs!$A12,Input!$C$141:$L$142,2,FALSE)),0,HLOOKUP(CFs!$A12,Input!$C$141:$L$142,2,FALSE))</f>
        <v>0</v>
      </c>
      <c r="V12" s="10">
        <f>IF(ISERROR(HLOOKUP(CFs!$A12,Input!$C$143:$L$144,2,FALSE)),0,HLOOKUP(CFs!$A12,Input!$C$143:$L$144,2,FALSE))</f>
        <v>0</v>
      </c>
      <c r="W12" s="10">
        <f>IF(ISERROR(HLOOKUP(CFs!$A12,Input!$C$145:$L$146,2,FALSE)),0,HLOOKUP(CFs!$A12,Input!$C$145:$L$146,2,FALSE))</f>
        <v>0</v>
      </c>
      <c r="X12" s="10">
        <f>IF(ISERROR(HLOOKUP(CFs!$A12,Input!$C$147:$L$148,2,FALSE)),0,HLOOKUP(CFs!$A12,Input!$C$147:$L$148,2,FALSE))</f>
        <v>0</v>
      </c>
      <c r="Y12" s="13">
        <f t="shared" si="2"/>
        <v>0</v>
      </c>
      <c r="Z12" s="10">
        <f>IF(ISERROR(HLOOKUP(CFs!$A12,Input!$C$152:$L$153,2,FALSE)),0,HLOOKUP(CFs!$A12,Input!$C$152:$L$153,2,FALSE))</f>
        <v>0</v>
      </c>
      <c r="AA12" s="10">
        <f>IF(ISERROR(HLOOKUP(CFs!$A12,Input!$C$149:$L$150,2,FALSE)),0,HLOOKUP(CFs!$A12,Input!$C$149:$L$150,2,FALSE))</f>
        <v>0</v>
      </c>
      <c r="AB12" s="10">
        <f>IF(ISERROR(HLOOKUP(CFs!$A12,Input!$C$151:$L$154,2,FALSE)),0,HLOOKUP(CFs!$A12,Input!$C$151:$L$154,2,FALSE))</f>
        <v>0</v>
      </c>
      <c r="AC12">
        <f t="shared" si="1"/>
        <v>0</v>
      </c>
      <c r="AD12" s="1" cm="1">
        <f t="array" ref="AD12">FirmaCashflow(Input!$C$165,Input!$C$166,Input!$C$163,Input!$D$163,CFs!A12)</f>
        <v>15833.333333333332</v>
      </c>
      <c r="AE12" s="2">
        <f>D12+G12+J12+Y12+AC12+AD12</f>
        <v>-208999.99999999997</v>
      </c>
      <c r="AF12" s="2">
        <f t="shared" si="3"/>
        <v>-18506500</v>
      </c>
    </row>
    <row r="13" spans="1:32" x14ac:dyDescent="0.25">
      <c r="A13">
        <v>11</v>
      </c>
      <c r="B13" s="1">
        <f>Input!$C$78/12</f>
        <v>0</v>
      </c>
      <c r="C13" s="1">
        <f>Input!$C$79/12</f>
        <v>0</v>
      </c>
      <c r="D13" s="2">
        <f>SUM(B13:C13)</f>
        <v>0</v>
      </c>
      <c r="E13" s="1">
        <f>Input!$C$82/12</f>
        <v>0</v>
      </c>
      <c r="F13" s="1">
        <f>Input!$C$83/12</f>
        <v>0</v>
      </c>
      <c r="G13" s="2">
        <f>SUM(E13:F13)</f>
        <v>0</v>
      </c>
      <c r="H13" s="1">
        <f>Input!$C$110/12</f>
        <v>-133000</v>
      </c>
      <c r="I13" s="1">
        <f>Input!$C$111/12</f>
        <v>-91833.333333333328</v>
      </c>
      <c r="J13" s="10">
        <f t="shared" si="0"/>
        <v>-224833.33333333331</v>
      </c>
      <c r="K13" s="10">
        <f>IF(ISERROR(HLOOKUP(CFs!A13,Input!$C$115:$L$117,2,FALSE)),0,HLOOKUP(CFs!A13,Input!$C$115:$L$117,2,FALSE))</f>
        <v>0</v>
      </c>
      <c r="L13" s="10">
        <f>IF(ISERROR(HLOOKUP(CFs!A13,Input!$C$115:$L$117,3,FALSE)),0,HLOOKUP(CFs!A13,Input!$C$115:$L$117,3,FALSE))</f>
        <v>0</v>
      </c>
      <c r="M13" s="10">
        <f>IF(ISERROR(HLOOKUP(CFs!$A13,Input!$C$119:$L$120,2,FALSE)),0,HLOOKUP(CFs!$A13,Input!$C$119:$L$120,2,FALSE))</f>
        <v>0</v>
      </c>
      <c r="N13" s="10">
        <f>IF(ISERROR(HLOOKUP(CFs!$A13,Input!$C$123:$L$124,2,FALSE)),0,HLOOKUP(CFs!$A13,Input!$C$123:$L$124,2,FALSE))</f>
        <v>0</v>
      </c>
      <c r="O13" s="10">
        <f>IF(ISERROR(HLOOKUP(CFs!$A13,Input!$C$125:$L$126,2,FALSE)),0,HLOOKUP(CFs!$A13,Input!$C$125:$L$126,2,FALSE))</f>
        <v>0</v>
      </c>
      <c r="P13" s="10">
        <f>IF(ISERROR(HLOOKUP(CFs!$A13,Input!$C$129:$L$130,2,FALSE)),0,HLOOKUP(CFs!$A13,Input!$C$129:$L$130,2,FALSE))</f>
        <v>0</v>
      </c>
      <c r="Q13" s="10">
        <f>IF(ISERROR(HLOOKUP(CFs!$A13,Input!$C$131:$L$132,2,FALSE)),0,HLOOKUP(CFs!$A13,Input!$C$131:$L$132,2,FALSE))</f>
        <v>0</v>
      </c>
      <c r="R13" s="10">
        <f>IF(ISERROR(HLOOKUP(CFs!$A13,Input!$C$135:$L$136,2,FALSE)),0,HLOOKUP(CFs!$A13,Input!$C$135:$L$136,2,FALSE))</f>
        <v>0</v>
      </c>
      <c r="S13" s="10">
        <f>IF(ISERROR(HLOOKUP(CFs!$A13,Input!$C$137:$L$138,2,FALSE)),0,HLOOKUP(CFs!$A13,Input!$C$137:$L$138,2,FALSE))</f>
        <v>0</v>
      </c>
      <c r="T13" s="10">
        <f>IF(ISERROR(HLOOKUP(CFs!$A13,Input!$C$139:$L$140,2,FALSE)),0,HLOOKUP(CFs!$A13,Input!$C$139:$L$140,2,FALSE))</f>
        <v>0</v>
      </c>
      <c r="U13" s="10">
        <f>IF(ISERROR(HLOOKUP(CFs!$A13,Input!$C$141:$L$142,2,FALSE)),0,HLOOKUP(CFs!$A13,Input!$C$141:$L$142,2,FALSE))</f>
        <v>0</v>
      </c>
      <c r="V13" s="10">
        <f>IF(ISERROR(HLOOKUP(CFs!$A13,Input!$C$143:$L$144,2,FALSE)),0,HLOOKUP(CFs!$A13,Input!$C$143:$L$144,2,FALSE))</f>
        <v>0</v>
      </c>
      <c r="W13" s="10">
        <f>IF(ISERROR(HLOOKUP(CFs!$A13,Input!$C$145:$L$146,2,FALSE)),0,HLOOKUP(CFs!$A13,Input!$C$145:$L$146,2,FALSE))</f>
        <v>0</v>
      </c>
      <c r="X13" s="10">
        <f>IF(ISERROR(HLOOKUP(CFs!$A13,Input!$C$147:$L$148,2,FALSE)),0,HLOOKUP(CFs!$A13,Input!$C$147:$L$148,2,FALSE))</f>
        <v>0</v>
      </c>
      <c r="Y13" s="13">
        <f t="shared" si="2"/>
        <v>0</v>
      </c>
      <c r="Z13" s="10">
        <f>IF(ISERROR(HLOOKUP(CFs!$A13,Input!$C$152:$L$153,2,FALSE)),0,HLOOKUP(CFs!$A13,Input!$C$152:$L$153,2,FALSE))</f>
        <v>0</v>
      </c>
      <c r="AA13" s="10">
        <f>IF(ISERROR(HLOOKUP(CFs!$A13,Input!$C$149:$L$150,2,FALSE)),0,HLOOKUP(CFs!$A13,Input!$C$149:$L$150,2,FALSE))</f>
        <v>0</v>
      </c>
      <c r="AB13" s="10">
        <f>IF(ISERROR(HLOOKUP(CFs!$A13,Input!$C$151:$L$154,2,FALSE)),0,HLOOKUP(CFs!$A13,Input!$C$151:$L$154,2,FALSE))</f>
        <v>0</v>
      </c>
      <c r="AC13">
        <f t="shared" si="1"/>
        <v>0</v>
      </c>
      <c r="AD13" s="1" cm="1">
        <f t="array" ref="AD13">FirmaCashflow(Input!$C$165,Input!$C$166,Input!$C$163,Input!$D$163,CFs!A13)</f>
        <v>15833.333333333332</v>
      </c>
      <c r="AE13" s="2">
        <f>D13+G13+J13+Y13+AC13+AD13</f>
        <v>-208999.99999999997</v>
      </c>
      <c r="AF13" s="2">
        <f t="shared" si="3"/>
        <v>-18715500</v>
      </c>
    </row>
    <row r="14" spans="1:32" x14ac:dyDescent="0.25">
      <c r="A14">
        <v>12</v>
      </c>
      <c r="B14" s="1">
        <f>Input!$C$78/12</f>
        <v>0</v>
      </c>
      <c r="C14" s="1">
        <f>Input!$C$79/12</f>
        <v>0</v>
      </c>
      <c r="D14" s="2">
        <f>SUM(B14:C14)</f>
        <v>0</v>
      </c>
      <c r="E14" s="1">
        <f>Input!$C$82/12</f>
        <v>0</v>
      </c>
      <c r="F14" s="1">
        <f>Input!$C$83/12</f>
        <v>0</v>
      </c>
      <c r="G14" s="2">
        <f>SUM(E14:F14)</f>
        <v>0</v>
      </c>
      <c r="H14" s="1">
        <f>Input!$C$110/12</f>
        <v>-133000</v>
      </c>
      <c r="I14" s="1">
        <f>Input!$C$111/12</f>
        <v>-91833.333333333328</v>
      </c>
      <c r="J14" s="10">
        <f t="shared" si="0"/>
        <v>-224833.33333333331</v>
      </c>
      <c r="K14" s="10">
        <f>IF(ISERROR(HLOOKUP(CFs!A14,Input!$C$115:$L$117,2,FALSE)),0,HLOOKUP(CFs!A14,Input!$C$115:$L$117,2,FALSE))</f>
        <v>0</v>
      </c>
      <c r="L14" s="10">
        <f>IF(ISERROR(HLOOKUP(CFs!A14,Input!$C$115:$L$117,3,FALSE)),0,HLOOKUP(CFs!A14,Input!$C$115:$L$117,3,FALSE))</f>
        <v>0</v>
      </c>
      <c r="M14" s="10">
        <f>IF(ISERROR(HLOOKUP(CFs!$A14,Input!$C$119:$L$120,2,FALSE)),0,HLOOKUP(CFs!$A14,Input!$C$119:$L$120,2,FALSE))</f>
        <v>0</v>
      </c>
      <c r="N14" s="10">
        <f>IF(ISERROR(HLOOKUP(CFs!$A14,Input!$C$123:$L$124,2,FALSE)),0,HLOOKUP(CFs!$A14,Input!$C$123:$L$124,2,FALSE))</f>
        <v>0</v>
      </c>
      <c r="O14" s="10">
        <f>IF(ISERROR(HLOOKUP(CFs!$A14,Input!$C$125:$L$126,2,FALSE)),0,HLOOKUP(CFs!$A14,Input!$C$125:$L$126,2,FALSE))</f>
        <v>0</v>
      </c>
      <c r="P14" s="10">
        <f>IF(ISERROR(HLOOKUP(CFs!$A14,Input!$C$129:$L$130,2,FALSE)),0,HLOOKUP(CFs!$A14,Input!$C$129:$L$130,2,FALSE))</f>
        <v>0</v>
      </c>
      <c r="Q14" s="10">
        <f>IF(ISERROR(HLOOKUP(CFs!$A14,Input!$C$131:$L$132,2,FALSE)),0,HLOOKUP(CFs!$A14,Input!$C$131:$L$132,2,FALSE))</f>
        <v>0</v>
      </c>
      <c r="R14" s="10">
        <f>IF(ISERROR(HLOOKUP(CFs!$A14,Input!$C$135:$L$136,2,FALSE)),0,HLOOKUP(CFs!$A14,Input!$C$135:$L$136,2,FALSE))</f>
        <v>0</v>
      </c>
      <c r="S14" s="10">
        <f>IF(ISERROR(HLOOKUP(CFs!$A14,Input!$C$137:$L$138,2,FALSE)),0,HLOOKUP(CFs!$A14,Input!$C$137:$L$138,2,FALSE))</f>
        <v>0</v>
      </c>
      <c r="T14" s="10">
        <f>IF(ISERROR(HLOOKUP(CFs!$A14,Input!$C$139:$L$140,2,FALSE)),0,HLOOKUP(CFs!$A14,Input!$C$139:$L$140,2,FALSE))</f>
        <v>0</v>
      </c>
      <c r="U14" s="10">
        <f>IF(ISERROR(HLOOKUP(CFs!$A14,Input!$C$141:$L$142,2,FALSE)),0,HLOOKUP(CFs!$A14,Input!$C$141:$L$142,2,FALSE))</f>
        <v>0</v>
      </c>
      <c r="V14" s="10">
        <f>IF(ISERROR(HLOOKUP(CFs!$A14,Input!$C$143:$L$144,2,FALSE)),0,HLOOKUP(CFs!$A14,Input!$C$143:$L$144,2,FALSE))</f>
        <v>0</v>
      </c>
      <c r="W14" s="10">
        <f>IF(ISERROR(HLOOKUP(CFs!$A14,Input!$C$145:$L$146,2,FALSE)),0,HLOOKUP(CFs!$A14,Input!$C$145:$L$146,2,FALSE))</f>
        <v>0</v>
      </c>
      <c r="X14" s="10">
        <f>IF(ISERROR(HLOOKUP(CFs!$A14,Input!$C$147:$L$148,2,FALSE)),0,HLOOKUP(CFs!$A14,Input!$C$147:$L$148,2,FALSE))</f>
        <v>0</v>
      </c>
      <c r="Y14" s="13">
        <f t="shared" si="2"/>
        <v>0</v>
      </c>
      <c r="Z14" s="10">
        <f>IF(ISERROR(HLOOKUP(CFs!$A14,Input!$C$152:$L$153,2,FALSE)),0,HLOOKUP(CFs!$A14,Input!$C$152:$L$153,2,FALSE))</f>
        <v>0</v>
      </c>
      <c r="AA14" s="10">
        <f>IF(ISERROR(HLOOKUP(CFs!$A14,Input!$C$149:$L$150,2,FALSE)),0,HLOOKUP(CFs!$A14,Input!$C$149:$L$150,2,FALSE))</f>
        <v>0</v>
      </c>
      <c r="AB14" s="10">
        <f>IF(ISERROR(HLOOKUP(CFs!$A14,Input!$C$151:$L$154,2,FALSE)),0,HLOOKUP(CFs!$A14,Input!$C$151:$L$154,2,FALSE))</f>
        <v>0</v>
      </c>
      <c r="AC14">
        <f t="shared" si="1"/>
        <v>0</v>
      </c>
      <c r="AD14" s="1" cm="1">
        <f t="array" ref="AD14">FirmaCashflow(Input!$C$165,Input!$C$166,Input!$C$163,Input!$D$163,CFs!A14)</f>
        <v>15833.333333333332</v>
      </c>
      <c r="AE14" s="2">
        <f>D14+G14+J14+Y14+AC14+AD14</f>
        <v>-208999.99999999997</v>
      </c>
      <c r="AF14" s="2">
        <f t="shared" si="3"/>
        <v>-18924500</v>
      </c>
    </row>
    <row r="15" spans="1:32" x14ac:dyDescent="0.25">
      <c r="A15">
        <v>13</v>
      </c>
      <c r="B15" s="1">
        <f>Input!$D$78/12</f>
        <v>0</v>
      </c>
      <c r="C15" s="1">
        <f>Input!$D$79/12</f>
        <v>0</v>
      </c>
      <c r="D15" s="2">
        <f>SUM(B15:C15)</f>
        <v>0</v>
      </c>
      <c r="E15" s="1">
        <f>Input!$D$82/12</f>
        <v>0</v>
      </c>
      <c r="F15" s="1">
        <f>Input!$D$83/12</f>
        <v>0</v>
      </c>
      <c r="G15" s="2">
        <f>SUM(E15:F15)</f>
        <v>0</v>
      </c>
      <c r="H15" s="1">
        <f>Input!$D$110/12</f>
        <v>-292489.16666666663</v>
      </c>
      <c r="I15" s="1">
        <f>Input!$D$111/12</f>
        <v>-160708.33333333331</v>
      </c>
      <c r="J15" s="10">
        <f t="shared" si="0"/>
        <v>-453197.49999999994</v>
      </c>
      <c r="K15" s="10">
        <f>IF(ISERROR(HLOOKUP(CFs!A15,Input!$C$115:$L$117,2,FALSE)),0,HLOOKUP(CFs!A15,Input!$C$115:$L$117,2,FALSE))</f>
        <v>-161892.49999999997</v>
      </c>
      <c r="L15" s="10">
        <f>IF(ISERROR(HLOOKUP(CFs!A15,Input!$C$115:$L$117,3,FALSE)),0,HLOOKUP(CFs!A15,Input!$C$115:$L$117,3,FALSE))</f>
        <v>-96424.999999999985</v>
      </c>
      <c r="M15" s="10">
        <f>IF(ISERROR(HLOOKUP(CFs!$A15,Input!$C$119:$L$120,2,FALSE)),0,HLOOKUP(CFs!$A15,Input!$C$119:$L$120,2,FALSE))</f>
        <v>0</v>
      </c>
      <c r="N15" s="10">
        <f>IF(ISERROR(HLOOKUP(CFs!$A15,Input!$C$123:$L$124,2,FALSE)),0,HLOOKUP(CFs!$A15,Input!$C$123:$L$124,2,FALSE))</f>
        <v>-75000</v>
      </c>
      <c r="O15" s="10">
        <f>IF(ISERROR(HLOOKUP(CFs!$A15,Input!$C$125:$L$126,2,FALSE)),0,HLOOKUP(CFs!$A15,Input!$C$125:$L$126,2,FALSE))</f>
        <v>-100000</v>
      </c>
      <c r="P15" s="10">
        <f>IF(ISERROR(HLOOKUP(CFs!$A15,Input!$C$129:$L$130,2,FALSE)),0,HLOOKUP(CFs!$A15,Input!$C$129:$L$130,2,FALSE))</f>
        <v>-200000</v>
      </c>
      <c r="Q15" s="10">
        <f>IF(ISERROR(HLOOKUP(CFs!$A15,Input!$C$131:$L$132,2,FALSE)),0,HLOOKUP(CFs!$A15,Input!$C$131:$L$132,2,FALSE))</f>
        <v>-50000</v>
      </c>
      <c r="R15" s="10">
        <f>IF(ISERROR(HLOOKUP(CFs!$A15,Input!$C$135:$L$136,2,FALSE)),0,HLOOKUP(CFs!$A15,Input!$C$135:$L$136,2,FALSE))</f>
        <v>-100000</v>
      </c>
      <c r="S15" s="10">
        <f>IF(ISERROR(HLOOKUP(CFs!$A15,Input!$C$137:$L$138,2,FALSE)),0,HLOOKUP(CFs!$A15,Input!$C$137:$L$138,2,FALSE))</f>
        <v>-100000</v>
      </c>
      <c r="T15" s="10">
        <f>IF(ISERROR(HLOOKUP(CFs!$A15,Input!$C$139:$L$140,2,FALSE)),0,HLOOKUP(CFs!$A15,Input!$C$139:$L$140,2,FALSE))</f>
        <v>-100000</v>
      </c>
      <c r="U15" s="10">
        <f>IF(ISERROR(HLOOKUP(CFs!$A15,Input!$C$141:$L$142,2,FALSE)),0,HLOOKUP(CFs!$A15,Input!$C$141:$L$142,2,FALSE))</f>
        <v>-200000</v>
      </c>
      <c r="V15" s="10">
        <f>IF(ISERROR(HLOOKUP(CFs!$A15,Input!$C$143:$L$144,2,FALSE)),0,HLOOKUP(CFs!$A15,Input!$C$143:$L$144,2,FALSE))</f>
        <v>0</v>
      </c>
      <c r="W15" s="10">
        <f>IF(ISERROR(HLOOKUP(CFs!$A15,Input!$C$145:$L$146,2,FALSE)),0,HLOOKUP(CFs!$A15,Input!$C$145:$L$146,2,FALSE))</f>
        <v>-100000</v>
      </c>
      <c r="X15" s="10">
        <f>IF(ISERROR(HLOOKUP(CFs!$A15,Input!$C$147:$L$148,2,FALSE)),0,HLOOKUP(CFs!$A15,Input!$C$147:$L$148,2,FALSE))</f>
        <v>-300000</v>
      </c>
      <c r="Y15" s="13">
        <f t="shared" si="2"/>
        <v>-1583317.5</v>
      </c>
      <c r="Z15" s="10">
        <f>IF(ISERROR(HLOOKUP(CFs!$A15,Input!$C$152:$L$153,2,FALSE)),0,HLOOKUP(CFs!$A15,Input!$C$152:$L$153,2,FALSE))</f>
        <v>0</v>
      </c>
      <c r="AA15" s="10">
        <f>IF(ISERROR(HLOOKUP(CFs!$A15,Input!$C$149:$L$150,2,FALSE)),0,HLOOKUP(CFs!$A15,Input!$C$149:$L$150,2,FALSE))</f>
        <v>0</v>
      </c>
      <c r="AB15" s="10">
        <f>IF(ISERROR(HLOOKUP(CFs!$A15,Input!$C$151:$L$154,2,FALSE)),0,HLOOKUP(CFs!$A15,Input!$C$151:$L$154,2,FALSE))</f>
        <v>0</v>
      </c>
      <c r="AC15">
        <f t="shared" si="1"/>
        <v>0</v>
      </c>
      <c r="AD15" s="1" cm="1">
        <f t="array" ref="AD15">FirmaCashflow(Input!$C$165,Input!$C$166,Input!$C$163,Input!$D$163,CFs!A15)</f>
        <v>15833.333333333332</v>
      </c>
      <c r="AE15" s="2">
        <f>D15+G15+J15+Y15+AC15+AD15</f>
        <v>-2020681.6666666667</v>
      </c>
      <c r="AF15" s="2">
        <f t="shared" si="3"/>
        <v>-20945181.666666668</v>
      </c>
    </row>
    <row r="16" spans="1:32" x14ac:dyDescent="0.25">
      <c r="A16">
        <v>14</v>
      </c>
      <c r="B16" s="1">
        <f>Input!$D$78/12</f>
        <v>0</v>
      </c>
      <c r="C16" s="1">
        <f>Input!$D$79/12</f>
        <v>0</v>
      </c>
      <c r="D16" s="2">
        <f>SUM(B16:C16)</f>
        <v>0</v>
      </c>
      <c r="E16" s="1">
        <f>Input!$D$82/12</f>
        <v>0</v>
      </c>
      <c r="F16" s="1">
        <f>Input!$D$83/12</f>
        <v>0</v>
      </c>
      <c r="G16" s="2">
        <f>SUM(E16:F16)</f>
        <v>0</v>
      </c>
      <c r="H16" s="1">
        <f>Input!$D$110/12</f>
        <v>-292489.16666666663</v>
      </c>
      <c r="I16" s="1">
        <f>Input!$D$111/12</f>
        <v>-160708.33333333331</v>
      </c>
      <c r="J16" s="10">
        <f t="shared" si="0"/>
        <v>-453197.49999999994</v>
      </c>
      <c r="K16" s="10">
        <f>IF(ISERROR(HLOOKUP(CFs!A16,Input!$C$115:$L$117,2,FALSE)),0,HLOOKUP(CFs!A16,Input!$C$115:$L$117,2,FALSE))</f>
        <v>0</v>
      </c>
      <c r="L16" s="10">
        <f>IF(ISERROR(HLOOKUP(CFs!A16,Input!$C$115:$L$117,3,FALSE)),0,HLOOKUP(CFs!A16,Input!$C$115:$L$117,3,FALSE))</f>
        <v>0</v>
      </c>
      <c r="M16" s="10">
        <f>IF(ISERROR(HLOOKUP(CFs!$A16,Input!$C$119:$L$120,2,FALSE)),0,HLOOKUP(CFs!$A16,Input!$C$119:$L$120,2,FALSE))</f>
        <v>0</v>
      </c>
      <c r="N16" s="10">
        <f>IF(ISERROR(HLOOKUP(CFs!$A16,Input!$C$123:$L$124,2,FALSE)),0,HLOOKUP(CFs!$A16,Input!$C$123:$L$124,2,FALSE))</f>
        <v>0</v>
      </c>
      <c r="O16" s="10">
        <f>IF(ISERROR(HLOOKUP(CFs!$A16,Input!$C$125:$L$126,2,FALSE)),0,HLOOKUP(CFs!$A16,Input!$C$125:$L$126,2,FALSE))</f>
        <v>0</v>
      </c>
      <c r="P16" s="10">
        <f>IF(ISERROR(HLOOKUP(CFs!$A16,Input!$C$129:$L$130,2,FALSE)),0,HLOOKUP(CFs!$A16,Input!$C$129:$L$130,2,FALSE))</f>
        <v>0</v>
      </c>
      <c r="Q16" s="10">
        <f>IF(ISERROR(HLOOKUP(CFs!$A16,Input!$C$131:$L$132,2,FALSE)),0,HLOOKUP(CFs!$A16,Input!$C$131:$L$132,2,FALSE))</f>
        <v>0</v>
      </c>
      <c r="R16" s="10">
        <f>IF(ISERROR(HLOOKUP(CFs!$A16,Input!$C$135:$L$136,2,FALSE)),0,HLOOKUP(CFs!$A16,Input!$C$135:$L$136,2,FALSE))</f>
        <v>0</v>
      </c>
      <c r="S16" s="10">
        <f>IF(ISERROR(HLOOKUP(CFs!$A16,Input!$C$137:$L$138,2,FALSE)),0,HLOOKUP(CFs!$A16,Input!$C$137:$L$138,2,FALSE))</f>
        <v>0</v>
      </c>
      <c r="T16" s="10">
        <f>IF(ISERROR(HLOOKUP(CFs!$A16,Input!$C$139:$L$140,2,FALSE)),0,HLOOKUP(CFs!$A16,Input!$C$139:$L$140,2,FALSE))</f>
        <v>0</v>
      </c>
      <c r="U16" s="10">
        <f>IF(ISERROR(HLOOKUP(CFs!$A16,Input!$C$141:$L$142,2,FALSE)),0,HLOOKUP(CFs!$A16,Input!$C$141:$L$142,2,FALSE))</f>
        <v>0</v>
      </c>
      <c r="V16" s="10">
        <f>IF(ISERROR(HLOOKUP(CFs!$A16,Input!$C$143:$L$144,2,FALSE)),0,HLOOKUP(CFs!$A16,Input!$C$143:$L$144,2,FALSE))</f>
        <v>0</v>
      </c>
      <c r="W16" s="10">
        <f>IF(ISERROR(HLOOKUP(CFs!$A16,Input!$C$145:$L$146,2,FALSE)),0,HLOOKUP(CFs!$A16,Input!$C$145:$L$146,2,FALSE))</f>
        <v>0</v>
      </c>
      <c r="X16" s="10">
        <f>IF(ISERROR(HLOOKUP(CFs!$A16,Input!$C$147:$L$148,2,FALSE)),0,HLOOKUP(CFs!$A16,Input!$C$147:$L$148,2,FALSE))</f>
        <v>0</v>
      </c>
      <c r="Y16" s="13">
        <f t="shared" si="2"/>
        <v>0</v>
      </c>
      <c r="Z16" s="10">
        <f>IF(ISERROR(HLOOKUP(CFs!$A16,Input!$C$152:$L$153,2,FALSE)),0,HLOOKUP(CFs!$A16,Input!$C$152:$L$153,2,FALSE))</f>
        <v>0</v>
      </c>
      <c r="AA16" s="10">
        <f>IF(ISERROR(HLOOKUP(CFs!$A16,Input!$C$149:$L$150,2,FALSE)),0,HLOOKUP(CFs!$A16,Input!$C$149:$L$150,2,FALSE))</f>
        <v>0</v>
      </c>
      <c r="AB16" s="10">
        <f>IF(ISERROR(HLOOKUP(CFs!$A16,Input!$C$151:$L$154,2,FALSE)),0,HLOOKUP(CFs!$A16,Input!$C$151:$L$154,2,FALSE))</f>
        <v>0</v>
      </c>
      <c r="AC16">
        <f t="shared" si="1"/>
        <v>0</v>
      </c>
      <c r="AD16" s="1" cm="1">
        <f t="array" ref="AD16">FirmaCashflow(Input!$C$165,Input!$C$166,Input!$C$163,Input!$D$163,CFs!A16)</f>
        <v>15833.333333333332</v>
      </c>
      <c r="AE16" s="2">
        <f>D16+G16+J16+Y16+AC16+AD16</f>
        <v>-437364.16666666663</v>
      </c>
      <c r="AF16" s="2">
        <f t="shared" si="3"/>
        <v>-21382545.833333336</v>
      </c>
    </row>
    <row r="17" spans="1:32" x14ac:dyDescent="0.25">
      <c r="A17">
        <v>15</v>
      </c>
      <c r="B17" s="1">
        <f>Input!$D$78/12</f>
        <v>0</v>
      </c>
      <c r="C17" s="1">
        <f>Input!$D$79/12</f>
        <v>0</v>
      </c>
      <c r="D17" s="2">
        <f>SUM(B17:C17)</f>
        <v>0</v>
      </c>
      <c r="E17" s="1">
        <f>Input!$D$82/12</f>
        <v>0</v>
      </c>
      <c r="F17" s="1">
        <f>Input!$D$83/12</f>
        <v>0</v>
      </c>
      <c r="G17" s="2">
        <f>SUM(E17:F17)</f>
        <v>0</v>
      </c>
      <c r="H17" s="1">
        <f>Input!$D$110/12</f>
        <v>-292489.16666666663</v>
      </c>
      <c r="I17" s="1">
        <f>Input!$D$111/12</f>
        <v>-160708.33333333331</v>
      </c>
      <c r="J17" s="10">
        <f t="shared" si="0"/>
        <v>-453197.49999999994</v>
      </c>
      <c r="K17" s="10">
        <f>IF(ISERROR(HLOOKUP(CFs!A17,Input!$C$115:$L$117,2,FALSE)),0,HLOOKUP(CFs!A17,Input!$C$115:$L$117,2,FALSE))</f>
        <v>0</v>
      </c>
      <c r="L17" s="10">
        <f>IF(ISERROR(HLOOKUP(CFs!A17,Input!$C$115:$L$117,3,FALSE)),0,HLOOKUP(CFs!A17,Input!$C$115:$L$117,3,FALSE))</f>
        <v>0</v>
      </c>
      <c r="M17" s="10">
        <f>IF(ISERROR(HLOOKUP(CFs!$A17,Input!$C$119:$L$120,2,FALSE)),0,HLOOKUP(CFs!$A17,Input!$C$119:$L$120,2,FALSE))</f>
        <v>0</v>
      </c>
      <c r="N17" s="10">
        <f>IF(ISERROR(HLOOKUP(CFs!$A17,Input!$C$123:$L$124,2,FALSE)),0,HLOOKUP(CFs!$A17,Input!$C$123:$L$124,2,FALSE))</f>
        <v>0</v>
      </c>
      <c r="O17" s="10">
        <f>IF(ISERROR(HLOOKUP(CFs!$A17,Input!$C$125:$L$126,2,FALSE)),0,HLOOKUP(CFs!$A17,Input!$C$125:$L$126,2,FALSE))</f>
        <v>0</v>
      </c>
      <c r="P17" s="10">
        <f>IF(ISERROR(HLOOKUP(CFs!$A17,Input!$C$129:$L$130,2,FALSE)),0,HLOOKUP(CFs!$A17,Input!$C$129:$L$130,2,FALSE))</f>
        <v>0</v>
      </c>
      <c r="Q17" s="10">
        <f>IF(ISERROR(HLOOKUP(CFs!$A17,Input!$C$131:$L$132,2,FALSE)),0,HLOOKUP(CFs!$A17,Input!$C$131:$L$132,2,FALSE))</f>
        <v>0</v>
      </c>
      <c r="R17" s="10">
        <f>IF(ISERROR(HLOOKUP(CFs!$A17,Input!$C$135:$L$136,2,FALSE)),0,HLOOKUP(CFs!$A17,Input!$C$135:$L$136,2,FALSE))</f>
        <v>0</v>
      </c>
      <c r="S17" s="10">
        <f>IF(ISERROR(HLOOKUP(CFs!$A17,Input!$C$137:$L$138,2,FALSE)),0,HLOOKUP(CFs!$A17,Input!$C$137:$L$138,2,FALSE))</f>
        <v>0</v>
      </c>
      <c r="T17" s="10">
        <f>IF(ISERROR(HLOOKUP(CFs!$A17,Input!$C$139:$L$140,2,FALSE)),0,HLOOKUP(CFs!$A17,Input!$C$139:$L$140,2,FALSE))</f>
        <v>0</v>
      </c>
      <c r="U17" s="10">
        <f>IF(ISERROR(HLOOKUP(CFs!$A17,Input!$C$141:$L$142,2,FALSE)),0,HLOOKUP(CFs!$A17,Input!$C$141:$L$142,2,FALSE))</f>
        <v>0</v>
      </c>
      <c r="V17" s="10">
        <f>IF(ISERROR(HLOOKUP(CFs!$A17,Input!$C$143:$L$144,2,FALSE)),0,HLOOKUP(CFs!$A17,Input!$C$143:$L$144,2,FALSE))</f>
        <v>0</v>
      </c>
      <c r="W17" s="10">
        <f>IF(ISERROR(HLOOKUP(CFs!$A17,Input!$C$145:$L$146,2,FALSE)),0,HLOOKUP(CFs!$A17,Input!$C$145:$L$146,2,FALSE))</f>
        <v>0</v>
      </c>
      <c r="X17" s="10">
        <f>IF(ISERROR(HLOOKUP(CFs!$A17,Input!$C$147:$L$148,2,FALSE)),0,HLOOKUP(CFs!$A17,Input!$C$147:$L$148,2,FALSE))</f>
        <v>0</v>
      </c>
      <c r="Y17" s="13">
        <f t="shared" si="2"/>
        <v>0</v>
      </c>
      <c r="Z17" s="10">
        <f>IF(ISERROR(HLOOKUP(CFs!$A17,Input!$C$152:$L$153,2,FALSE)),0,HLOOKUP(CFs!$A17,Input!$C$152:$L$153,2,FALSE))</f>
        <v>0</v>
      </c>
      <c r="AA17" s="10">
        <f>IF(ISERROR(HLOOKUP(CFs!$A17,Input!$C$149:$L$150,2,FALSE)),0,HLOOKUP(CFs!$A17,Input!$C$149:$L$150,2,FALSE))</f>
        <v>0</v>
      </c>
      <c r="AB17" s="10">
        <f>IF(ISERROR(HLOOKUP(CFs!$A17,Input!$C$151:$L$154,2,FALSE)),0,HLOOKUP(CFs!$A17,Input!$C$151:$L$154,2,FALSE))</f>
        <v>0</v>
      </c>
      <c r="AC17">
        <f t="shared" si="1"/>
        <v>0</v>
      </c>
      <c r="AD17" s="1" cm="1">
        <f t="array" ref="AD17">FirmaCashflow(Input!$C$165,Input!$C$166,Input!$C$163,Input!$D$163,CFs!A17)</f>
        <v>15833.333333333332</v>
      </c>
      <c r="AE17" s="2">
        <f>D17+G17+J17+Y17+AC17+AD17</f>
        <v>-437364.16666666663</v>
      </c>
      <c r="AF17" s="2">
        <f t="shared" si="3"/>
        <v>-21819910.000000004</v>
      </c>
    </row>
    <row r="18" spans="1:32" x14ac:dyDescent="0.25">
      <c r="A18">
        <v>16</v>
      </c>
      <c r="B18" s="1">
        <f>Input!$D$78/12</f>
        <v>0</v>
      </c>
      <c r="C18" s="1">
        <f>Input!$D$79/12</f>
        <v>0</v>
      </c>
      <c r="D18" s="2">
        <f>SUM(B18:C18)</f>
        <v>0</v>
      </c>
      <c r="E18" s="1">
        <f>Input!$D$82/12</f>
        <v>0</v>
      </c>
      <c r="F18" s="1">
        <f>Input!$D$83/12</f>
        <v>0</v>
      </c>
      <c r="G18" s="2">
        <f>SUM(E18:F18)</f>
        <v>0</v>
      </c>
      <c r="H18" s="1">
        <f>Input!$D$110/12</f>
        <v>-292489.16666666663</v>
      </c>
      <c r="I18" s="1">
        <f>Input!$D$111/12</f>
        <v>-160708.33333333331</v>
      </c>
      <c r="J18" s="10">
        <f t="shared" si="0"/>
        <v>-453197.49999999994</v>
      </c>
      <c r="K18" s="10">
        <f>IF(ISERROR(HLOOKUP(CFs!A18,Input!$C$115:$L$117,2,FALSE)),0,HLOOKUP(CFs!A18,Input!$C$115:$L$117,2,FALSE))</f>
        <v>0</v>
      </c>
      <c r="L18" s="10">
        <f>IF(ISERROR(HLOOKUP(CFs!A18,Input!$C$115:$L$117,3,FALSE)),0,HLOOKUP(CFs!A18,Input!$C$115:$L$117,3,FALSE))</f>
        <v>0</v>
      </c>
      <c r="M18" s="10">
        <f>IF(ISERROR(HLOOKUP(CFs!$A18,Input!$C$119:$L$120,2,FALSE)),0,HLOOKUP(CFs!$A18,Input!$C$119:$L$120,2,FALSE))</f>
        <v>0</v>
      </c>
      <c r="N18" s="10">
        <f>IF(ISERROR(HLOOKUP(CFs!$A18,Input!$C$123:$L$124,2,FALSE)),0,HLOOKUP(CFs!$A18,Input!$C$123:$L$124,2,FALSE))</f>
        <v>0</v>
      </c>
      <c r="O18" s="10">
        <f>IF(ISERROR(HLOOKUP(CFs!$A18,Input!$C$125:$L$126,2,FALSE)),0,HLOOKUP(CFs!$A18,Input!$C$125:$L$126,2,FALSE))</f>
        <v>0</v>
      </c>
      <c r="P18" s="10">
        <f>IF(ISERROR(HLOOKUP(CFs!$A18,Input!$C$129:$L$130,2,FALSE)),0,HLOOKUP(CFs!$A18,Input!$C$129:$L$130,2,FALSE))</f>
        <v>0</v>
      </c>
      <c r="Q18" s="10">
        <f>IF(ISERROR(HLOOKUP(CFs!$A18,Input!$C$131:$L$132,2,FALSE)),0,HLOOKUP(CFs!$A18,Input!$C$131:$L$132,2,FALSE))</f>
        <v>0</v>
      </c>
      <c r="R18" s="10">
        <f>IF(ISERROR(HLOOKUP(CFs!$A18,Input!$C$135:$L$136,2,FALSE)),0,HLOOKUP(CFs!$A18,Input!$C$135:$L$136,2,FALSE))</f>
        <v>0</v>
      </c>
      <c r="S18" s="10">
        <f>IF(ISERROR(HLOOKUP(CFs!$A18,Input!$C$137:$L$138,2,FALSE)),0,HLOOKUP(CFs!$A18,Input!$C$137:$L$138,2,FALSE))</f>
        <v>0</v>
      </c>
      <c r="T18" s="10">
        <f>IF(ISERROR(HLOOKUP(CFs!$A18,Input!$C$139:$L$140,2,FALSE)),0,HLOOKUP(CFs!$A18,Input!$C$139:$L$140,2,FALSE))</f>
        <v>0</v>
      </c>
      <c r="U18" s="10">
        <f>IF(ISERROR(HLOOKUP(CFs!$A18,Input!$C$141:$L$142,2,FALSE)),0,HLOOKUP(CFs!$A18,Input!$C$141:$L$142,2,FALSE))</f>
        <v>0</v>
      </c>
      <c r="V18" s="10">
        <f>IF(ISERROR(HLOOKUP(CFs!$A18,Input!$C$143:$L$144,2,FALSE)),0,HLOOKUP(CFs!$A18,Input!$C$143:$L$144,2,FALSE))</f>
        <v>0</v>
      </c>
      <c r="W18" s="10">
        <f>IF(ISERROR(HLOOKUP(CFs!$A18,Input!$C$145:$L$146,2,FALSE)),0,HLOOKUP(CFs!$A18,Input!$C$145:$L$146,2,FALSE))</f>
        <v>0</v>
      </c>
      <c r="X18" s="10">
        <f>IF(ISERROR(HLOOKUP(CFs!$A18,Input!$C$147:$L$148,2,FALSE)),0,HLOOKUP(CFs!$A18,Input!$C$147:$L$148,2,FALSE))</f>
        <v>0</v>
      </c>
      <c r="Y18" s="13">
        <f t="shared" si="2"/>
        <v>0</v>
      </c>
      <c r="Z18" s="10">
        <f>IF(ISERROR(HLOOKUP(CFs!$A18,Input!$C$152:$L$153,2,FALSE)),0,HLOOKUP(CFs!$A18,Input!$C$152:$L$153,2,FALSE))</f>
        <v>0</v>
      </c>
      <c r="AA18" s="10">
        <f>IF(ISERROR(HLOOKUP(CFs!$A18,Input!$C$149:$L$150,2,FALSE)),0,HLOOKUP(CFs!$A18,Input!$C$149:$L$150,2,FALSE))</f>
        <v>0</v>
      </c>
      <c r="AB18" s="10">
        <f>IF(ISERROR(HLOOKUP(CFs!$A18,Input!$C$151:$L$154,2,FALSE)),0,HLOOKUP(CFs!$A18,Input!$C$151:$L$154,2,FALSE))</f>
        <v>0</v>
      </c>
      <c r="AC18">
        <f t="shared" si="1"/>
        <v>0</v>
      </c>
      <c r="AD18" s="1" cm="1">
        <f t="array" ref="AD18">FirmaCashflow(Input!$C$165,Input!$C$166,Input!$C$163,Input!$D$163,CFs!A18)</f>
        <v>15833.333333333332</v>
      </c>
      <c r="AE18" s="2">
        <f>D18+G18+J18+Y18+AC18+AD18</f>
        <v>-437364.16666666663</v>
      </c>
      <c r="AF18" s="2">
        <f t="shared" si="3"/>
        <v>-22257274.166666672</v>
      </c>
    </row>
    <row r="19" spans="1:32" x14ac:dyDescent="0.25">
      <c r="A19">
        <v>17</v>
      </c>
      <c r="B19" s="1">
        <f>Input!$D$78/12</f>
        <v>0</v>
      </c>
      <c r="C19" s="1">
        <f>Input!$D$79/12</f>
        <v>0</v>
      </c>
      <c r="D19" s="2">
        <f>SUM(B19:C19)</f>
        <v>0</v>
      </c>
      <c r="E19" s="1">
        <f>Input!$D$82/12</f>
        <v>0</v>
      </c>
      <c r="F19" s="1">
        <f>Input!$D$83/12</f>
        <v>0</v>
      </c>
      <c r="G19" s="2">
        <f>SUM(E19:F19)</f>
        <v>0</v>
      </c>
      <c r="H19" s="1">
        <f>Input!$D$110/12</f>
        <v>-292489.16666666663</v>
      </c>
      <c r="I19" s="1">
        <f>Input!$D$111/12</f>
        <v>-160708.33333333331</v>
      </c>
      <c r="J19" s="10">
        <f t="shared" si="0"/>
        <v>-453197.49999999994</v>
      </c>
      <c r="K19" s="10">
        <f>IF(ISERROR(HLOOKUP(CFs!A19,Input!$C$115:$L$117,2,FALSE)),0,HLOOKUP(CFs!A19,Input!$C$115:$L$117,2,FALSE))</f>
        <v>0</v>
      </c>
      <c r="L19" s="10">
        <f>IF(ISERROR(HLOOKUP(CFs!A19,Input!$C$115:$L$117,3,FALSE)),0,HLOOKUP(CFs!A19,Input!$C$115:$L$117,3,FALSE))</f>
        <v>0</v>
      </c>
      <c r="M19" s="10">
        <f>IF(ISERROR(HLOOKUP(CFs!$A19,Input!$C$119:$L$120,2,FALSE)),0,HLOOKUP(CFs!$A19,Input!$C$119:$L$120,2,FALSE))</f>
        <v>0</v>
      </c>
      <c r="N19" s="10">
        <f>IF(ISERROR(HLOOKUP(CFs!$A19,Input!$C$123:$L$124,2,FALSE)),0,HLOOKUP(CFs!$A19,Input!$C$123:$L$124,2,FALSE))</f>
        <v>0</v>
      </c>
      <c r="O19" s="10">
        <f>IF(ISERROR(HLOOKUP(CFs!$A19,Input!$C$125:$L$126,2,FALSE)),0,HLOOKUP(CFs!$A19,Input!$C$125:$L$126,2,FALSE))</f>
        <v>0</v>
      </c>
      <c r="P19" s="10">
        <f>IF(ISERROR(HLOOKUP(CFs!$A19,Input!$C$129:$L$130,2,FALSE)),0,HLOOKUP(CFs!$A19,Input!$C$129:$L$130,2,FALSE))</f>
        <v>0</v>
      </c>
      <c r="Q19" s="10">
        <f>IF(ISERROR(HLOOKUP(CFs!$A19,Input!$C$131:$L$132,2,FALSE)),0,HLOOKUP(CFs!$A19,Input!$C$131:$L$132,2,FALSE))</f>
        <v>0</v>
      </c>
      <c r="R19" s="10">
        <f>IF(ISERROR(HLOOKUP(CFs!$A19,Input!$C$135:$L$136,2,FALSE)),0,HLOOKUP(CFs!$A19,Input!$C$135:$L$136,2,FALSE))</f>
        <v>0</v>
      </c>
      <c r="S19" s="10">
        <f>IF(ISERROR(HLOOKUP(CFs!$A19,Input!$C$137:$L$138,2,FALSE)),0,HLOOKUP(CFs!$A19,Input!$C$137:$L$138,2,FALSE))</f>
        <v>0</v>
      </c>
      <c r="T19" s="10">
        <f>IF(ISERROR(HLOOKUP(CFs!$A19,Input!$C$139:$L$140,2,FALSE)),0,HLOOKUP(CFs!$A19,Input!$C$139:$L$140,2,FALSE))</f>
        <v>0</v>
      </c>
      <c r="U19" s="10">
        <f>IF(ISERROR(HLOOKUP(CFs!$A19,Input!$C$141:$L$142,2,FALSE)),0,HLOOKUP(CFs!$A19,Input!$C$141:$L$142,2,FALSE))</f>
        <v>0</v>
      </c>
      <c r="V19" s="10">
        <f>IF(ISERROR(HLOOKUP(CFs!$A19,Input!$C$143:$L$144,2,FALSE)),0,HLOOKUP(CFs!$A19,Input!$C$143:$L$144,2,FALSE))</f>
        <v>0</v>
      </c>
      <c r="W19" s="10">
        <f>IF(ISERROR(HLOOKUP(CFs!$A19,Input!$C$145:$L$146,2,FALSE)),0,HLOOKUP(CFs!$A19,Input!$C$145:$L$146,2,FALSE))</f>
        <v>0</v>
      </c>
      <c r="X19" s="10">
        <f>IF(ISERROR(HLOOKUP(CFs!$A19,Input!$C$147:$L$148,2,FALSE)),0,HLOOKUP(CFs!$A19,Input!$C$147:$L$148,2,FALSE))</f>
        <v>0</v>
      </c>
      <c r="Y19" s="13">
        <f t="shared" si="2"/>
        <v>0</v>
      </c>
      <c r="Z19" s="10">
        <f>IF(ISERROR(HLOOKUP(CFs!$A19,Input!$C$152:$L$153,2,FALSE)),0,HLOOKUP(CFs!$A19,Input!$C$152:$L$153,2,FALSE))</f>
        <v>0</v>
      </c>
      <c r="AA19" s="10">
        <f>IF(ISERROR(HLOOKUP(CFs!$A19,Input!$C$149:$L$150,2,FALSE)),0,HLOOKUP(CFs!$A19,Input!$C$149:$L$150,2,FALSE))</f>
        <v>0</v>
      </c>
      <c r="AB19" s="10">
        <f>IF(ISERROR(HLOOKUP(CFs!$A19,Input!$C$151:$L$154,2,FALSE)),0,HLOOKUP(CFs!$A19,Input!$C$151:$L$154,2,FALSE))</f>
        <v>0</v>
      </c>
      <c r="AC19">
        <f t="shared" si="1"/>
        <v>0</v>
      </c>
      <c r="AD19" s="1" cm="1">
        <f t="array" ref="AD19">FirmaCashflow(Input!$C$165,Input!$C$166,Input!$C$163,Input!$D$163,CFs!A19)</f>
        <v>15833.333333333332</v>
      </c>
      <c r="AE19" s="2">
        <f>D19+G19+J19+Y19+AC19+AD19</f>
        <v>-437364.16666666663</v>
      </c>
      <c r="AF19" s="2">
        <f t="shared" si="3"/>
        <v>-22694638.33333334</v>
      </c>
    </row>
    <row r="20" spans="1:32" x14ac:dyDescent="0.25">
      <c r="A20">
        <v>18</v>
      </c>
      <c r="B20" s="1">
        <f>Input!$D$78/12</f>
        <v>0</v>
      </c>
      <c r="C20" s="1">
        <f>Input!$D$79/12</f>
        <v>0</v>
      </c>
      <c r="D20" s="2">
        <f>SUM(B20:C20)</f>
        <v>0</v>
      </c>
      <c r="E20" s="1">
        <f>Input!$D$82/12</f>
        <v>0</v>
      </c>
      <c r="F20" s="1">
        <f>Input!$D$83/12</f>
        <v>0</v>
      </c>
      <c r="G20" s="2">
        <f>SUM(E20:F20)</f>
        <v>0</v>
      </c>
      <c r="H20" s="1">
        <f>Input!$D$110/12</f>
        <v>-292489.16666666663</v>
      </c>
      <c r="I20" s="1">
        <f>Input!$D$111/12</f>
        <v>-160708.33333333331</v>
      </c>
      <c r="J20" s="10">
        <f t="shared" si="0"/>
        <v>-453197.49999999994</v>
      </c>
      <c r="K20" s="10">
        <f>IF(ISERROR(HLOOKUP(CFs!A20,Input!$C$115:$L$117,2,FALSE)),0,HLOOKUP(CFs!A20,Input!$C$115:$L$117,2,FALSE))</f>
        <v>0</v>
      </c>
      <c r="L20" s="10">
        <f>IF(ISERROR(HLOOKUP(CFs!A20,Input!$C$115:$L$117,3,FALSE)),0,HLOOKUP(CFs!A20,Input!$C$115:$L$117,3,FALSE))</f>
        <v>0</v>
      </c>
      <c r="M20" s="10">
        <f>IF(ISERROR(HLOOKUP(CFs!$A20,Input!$C$119:$L$120,2,FALSE)),0,HLOOKUP(CFs!$A20,Input!$C$119:$L$120,2,FALSE))</f>
        <v>-500000</v>
      </c>
      <c r="N20" s="10">
        <f>IF(ISERROR(HLOOKUP(CFs!$A20,Input!$C$123:$L$124,2,FALSE)),0,HLOOKUP(CFs!$A20,Input!$C$123:$L$124,2,FALSE))</f>
        <v>0</v>
      </c>
      <c r="O20" s="10">
        <f>IF(ISERROR(HLOOKUP(CFs!$A20,Input!$C$125:$L$126,2,FALSE)),0,HLOOKUP(CFs!$A20,Input!$C$125:$L$126,2,FALSE))</f>
        <v>0</v>
      </c>
      <c r="P20" s="10">
        <f>IF(ISERROR(HLOOKUP(CFs!$A20,Input!$C$129:$L$130,2,FALSE)),0,HLOOKUP(CFs!$A20,Input!$C$129:$L$130,2,FALSE))</f>
        <v>0</v>
      </c>
      <c r="Q20" s="10">
        <f>IF(ISERROR(HLOOKUP(CFs!$A20,Input!$C$131:$L$132,2,FALSE)),0,HLOOKUP(CFs!$A20,Input!$C$131:$L$132,2,FALSE))</f>
        <v>0</v>
      </c>
      <c r="R20" s="10">
        <f>IF(ISERROR(HLOOKUP(CFs!$A20,Input!$C$135:$L$136,2,FALSE)),0,HLOOKUP(CFs!$A20,Input!$C$135:$L$136,2,FALSE))</f>
        <v>0</v>
      </c>
      <c r="S20" s="10">
        <f>IF(ISERROR(HLOOKUP(CFs!$A20,Input!$C$137:$L$138,2,FALSE)),0,HLOOKUP(CFs!$A20,Input!$C$137:$L$138,2,FALSE))</f>
        <v>0</v>
      </c>
      <c r="T20" s="10">
        <f>IF(ISERROR(HLOOKUP(CFs!$A20,Input!$C$139:$L$140,2,FALSE)),0,HLOOKUP(CFs!$A20,Input!$C$139:$L$140,2,FALSE))</f>
        <v>0</v>
      </c>
      <c r="U20" s="10">
        <f>IF(ISERROR(HLOOKUP(CFs!$A20,Input!$C$141:$L$142,2,FALSE)),0,HLOOKUP(CFs!$A20,Input!$C$141:$L$142,2,FALSE))</f>
        <v>0</v>
      </c>
      <c r="V20" s="10">
        <f>IF(ISERROR(HLOOKUP(CFs!$A20,Input!$C$143:$L$144,2,FALSE)),0,HLOOKUP(CFs!$A20,Input!$C$143:$L$144,2,FALSE))</f>
        <v>0</v>
      </c>
      <c r="W20" s="10">
        <f>IF(ISERROR(HLOOKUP(CFs!$A20,Input!$C$145:$L$146,2,FALSE)),0,HLOOKUP(CFs!$A20,Input!$C$145:$L$146,2,FALSE))</f>
        <v>0</v>
      </c>
      <c r="X20" s="10">
        <f>IF(ISERROR(HLOOKUP(CFs!$A20,Input!$C$147:$L$148,2,FALSE)),0,HLOOKUP(CFs!$A20,Input!$C$147:$L$148,2,FALSE))</f>
        <v>0</v>
      </c>
      <c r="Y20" s="13">
        <f t="shared" si="2"/>
        <v>-500000</v>
      </c>
      <c r="Z20" s="10">
        <f>IF(ISERROR(HLOOKUP(CFs!$A20,Input!$C$152:$L$153,2,FALSE)),0,HLOOKUP(CFs!$A20,Input!$C$152:$L$153,2,FALSE))</f>
        <v>0</v>
      </c>
      <c r="AA20" s="10">
        <f>IF(ISERROR(HLOOKUP(CFs!$A20,Input!$C$149:$L$150,2,FALSE)),0,HLOOKUP(CFs!$A20,Input!$C$149:$L$150,2,FALSE))</f>
        <v>0</v>
      </c>
      <c r="AB20" s="10">
        <f>IF(ISERROR(HLOOKUP(CFs!$A20,Input!$C$151:$L$154,2,FALSE)),0,HLOOKUP(CFs!$A20,Input!$C$151:$L$154,2,FALSE))</f>
        <v>0</v>
      </c>
      <c r="AC20">
        <f t="shared" si="1"/>
        <v>0</v>
      </c>
      <c r="AD20" s="1" cm="1">
        <f t="array" ref="AD20">FirmaCashflow(Input!$C$165,Input!$C$166,Input!$C$163,Input!$D$163,CFs!A20)</f>
        <v>15833.333333333332</v>
      </c>
      <c r="AE20" s="2">
        <f>D20+G20+J20+Y20+AC20+AD20</f>
        <v>-937364.16666666663</v>
      </c>
      <c r="AF20" s="2">
        <f t="shared" si="3"/>
        <v>-23632002.500000007</v>
      </c>
    </row>
    <row r="21" spans="1:32" x14ac:dyDescent="0.25">
      <c r="A21">
        <v>19</v>
      </c>
      <c r="B21" s="1">
        <f>Input!$D$78/12</f>
        <v>0</v>
      </c>
      <c r="C21" s="1">
        <f>Input!$D$79/12</f>
        <v>0</v>
      </c>
      <c r="D21" s="2">
        <f>SUM(B21:C21)</f>
        <v>0</v>
      </c>
      <c r="E21" s="1">
        <f>Input!$D$82/12</f>
        <v>0</v>
      </c>
      <c r="F21" s="1">
        <f>Input!$D$83/12</f>
        <v>0</v>
      </c>
      <c r="G21" s="2">
        <f>SUM(E21:F21)</f>
        <v>0</v>
      </c>
      <c r="H21" s="1">
        <f>Input!$D$110/12</f>
        <v>-292489.16666666663</v>
      </c>
      <c r="I21" s="1">
        <f>Input!$D$111/12</f>
        <v>-160708.33333333331</v>
      </c>
      <c r="J21" s="10">
        <f t="shared" si="0"/>
        <v>-453197.49999999994</v>
      </c>
      <c r="K21" s="10">
        <f>IF(ISERROR(HLOOKUP(CFs!A21,Input!$C$115:$L$117,2,FALSE)),0,HLOOKUP(CFs!A21,Input!$C$115:$L$117,2,FALSE))</f>
        <v>0</v>
      </c>
      <c r="L21" s="10">
        <f>IF(ISERROR(HLOOKUP(CFs!A21,Input!$C$115:$L$117,3,FALSE)),0,HLOOKUP(CFs!A21,Input!$C$115:$L$117,3,FALSE))</f>
        <v>0</v>
      </c>
      <c r="M21" s="10">
        <f>IF(ISERROR(HLOOKUP(CFs!$A21,Input!$C$119:$L$120,2,FALSE)),0,HLOOKUP(CFs!$A21,Input!$C$119:$L$120,2,FALSE))</f>
        <v>0</v>
      </c>
      <c r="N21" s="10">
        <f>IF(ISERROR(HLOOKUP(CFs!$A21,Input!$C$123:$L$124,2,FALSE)),0,HLOOKUP(CFs!$A21,Input!$C$123:$L$124,2,FALSE))</f>
        <v>0</v>
      </c>
      <c r="O21" s="10">
        <f>IF(ISERROR(HLOOKUP(CFs!$A21,Input!$C$125:$L$126,2,FALSE)),0,HLOOKUP(CFs!$A21,Input!$C$125:$L$126,2,FALSE))</f>
        <v>0</v>
      </c>
      <c r="P21" s="10">
        <f>IF(ISERROR(HLOOKUP(CFs!$A21,Input!$C$129:$L$130,2,FALSE)),0,HLOOKUP(CFs!$A21,Input!$C$129:$L$130,2,FALSE))</f>
        <v>0</v>
      </c>
      <c r="Q21" s="10">
        <f>IF(ISERROR(HLOOKUP(CFs!$A21,Input!$C$131:$L$132,2,FALSE)),0,HLOOKUP(CFs!$A21,Input!$C$131:$L$132,2,FALSE))</f>
        <v>0</v>
      </c>
      <c r="R21" s="10">
        <f>IF(ISERROR(HLOOKUP(CFs!$A21,Input!$C$135:$L$136,2,FALSE)),0,HLOOKUP(CFs!$A21,Input!$C$135:$L$136,2,FALSE))</f>
        <v>0</v>
      </c>
      <c r="S21" s="10">
        <f>IF(ISERROR(HLOOKUP(CFs!$A21,Input!$C$137:$L$138,2,FALSE)),0,HLOOKUP(CFs!$A21,Input!$C$137:$L$138,2,FALSE))</f>
        <v>0</v>
      </c>
      <c r="T21" s="10">
        <f>IF(ISERROR(HLOOKUP(CFs!$A21,Input!$C$139:$L$140,2,FALSE)),0,HLOOKUP(CFs!$A21,Input!$C$139:$L$140,2,FALSE))</f>
        <v>0</v>
      </c>
      <c r="U21" s="10">
        <f>IF(ISERROR(HLOOKUP(CFs!$A21,Input!$C$141:$L$142,2,FALSE)),0,HLOOKUP(CFs!$A21,Input!$C$141:$L$142,2,FALSE))</f>
        <v>0</v>
      </c>
      <c r="V21" s="10">
        <f>IF(ISERROR(HLOOKUP(CFs!$A21,Input!$C$143:$L$144,2,FALSE)),0,HLOOKUP(CFs!$A21,Input!$C$143:$L$144,2,FALSE))</f>
        <v>0</v>
      </c>
      <c r="W21" s="10">
        <f>IF(ISERROR(HLOOKUP(CFs!$A21,Input!$C$145:$L$146,2,FALSE)),0,HLOOKUP(CFs!$A21,Input!$C$145:$L$146,2,FALSE))</f>
        <v>0</v>
      </c>
      <c r="X21" s="10">
        <f>IF(ISERROR(HLOOKUP(CFs!$A21,Input!$C$147:$L$148,2,FALSE)),0,HLOOKUP(CFs!$A21,Input!$C$147:$L$148,2,FALSE))</f>
        <v>0</v>
      </c>
      <c r="Y21" s="13">
        <f t="shared" si="2"/>
        <v>0</v>
      </c>
      <c r="Z21" s="10">
        <f>IF(ISERROR(HLOOKUP(CFs!$A21,Input!$C$152:$L$153,2,FALSE)),0,HLOOKUP(CFs!$A21,Input!$C$152:$L$153,2,FALSE))</f>
        <v>0</v>
      </c>
      <c r="AA21" s="10">
        <f>IF(ISERROR(HLOOKUP(CFs!$A21,Input!$C$149:$L$150,2,FALSE)),0,HLOOKUP(CFs!$A21,Input!$C$149:$L$150,2,FALSE))</f>
        <v>0</v>
      </c>
      <c r="AB21" s="10">
        <f>IF(ISERROR(HLOOKUP(CFs!$A21,Input!$C$151:$L$154,2,FALSE)),0,HLOOKUP(CFs!$A21,Input!$C$151:$L$154,2,FALSE))</f>
        <v>0</v>
      </c>
      <c r="AC21">
        <f t="shared" si="1"/>
        <v>0</v>
      </c>
      <c r="AD21" s="1" cm="1">
        <f t="array" ref="AD21">FirmaCashflow(Input!$C$165,Input!$C$166,Input!$C$163,Input!$D$163,CFs!A21)</f>
        <v>15833.333333333332</v>
      </c>
      <c r="AE21" s="2">
        <f>D21+G21+J21+Y21+AC21+AD21</f>
        <v>-437364.16666666663</v>
      </c>
      <c r="AF21" s="2">
        <f t="shared" si="3"/>
        <v>-24069366.666666675</v>
      </c>
    </row>
    <row r="22" spans="1:32" x14ac:dyDescent="0.25">
      <c r="A22">
        <v>20</v>
      </c>
      <c r="B22" s="1">
        <f>Input!$D$78/12</f>
        <v>0</v>
      </c>
      <c r="C22" s="1">
        <f>Input!$D$79/12</f>
        <v>0</v>
      </c>
      <c r="D22" s="2">
        <f>SUM(B22:C22)</f>
        <v>0</v>
      </c>
      <c r="E22" s="1">
        <f>Input!$D$82/12</f>
        <v>0</v>
      </c>
      <c r="F22" s="1">
        <f>Input!$D$83/12</f>
        <v>0</v>
      </c>
      <c r="G22" s="2">
        <f>SUM(E22:F22)</f>
        <v>0</v>
      </c>
      <c r="H22" s="1">
        <f>Input!$D$110/12</f>
        <v>-292489.16666666663</v>
      </c>
      <c r="I22" s="1">
        <f>Input!$D$111/12</f>
        <v>-160708.33333333331</v>
      </c>
      <c r="J22" s="10">
        <f t="shared" si="0"/>
        <v>-453197.49999999994</v>
      </c>
      <c r="K22" s="10">
        <f>IF(ISERROR(HLOOKUP(CFs!A22,Input!$C$115:$L$117,2,FALSE)),0,HLOOKUP(CFs!A22,Input!$C$115:$L$117,2,FALSE))</f>
        <v>0</v>
      </c>
      <c r="L22" s="10">
        <f>IF(ISERROR(HLOOKUP(CFs!A22,Input!$C$115:$L$117,3,FALSE)),0,HLOOKUP(CFs!A22,Input!$C$115:$L$117,3,FALSE))</f>
        <v>0</v>
      </c>
      <c r="M22" s="10">
        <f>IF(ISERROR(HLOOKUP(CFs!$A22,Input!$C$119:$L$120,2,FALSE)),0,HLOOKUP(CFs!$A22,Input!$C$119:$L$120,2,FALSE))</f>
        <v>0</v>
      </c>
      <c r="N22" s="10">
        <f>IF(ISERROR(HLOOKUP(CFs!$A22,Input!$C$123:$L$124,2,FALSE)),0,HLOOKUP(CFs!$A22,Input!$C$123:$L$124,2,FALSE))</f>
        <v>0</v>
      </c>
      <c r="O22" s="10">
        <f>IF(ISERROR(HLOOKUP(CFs!$A22,Input!$C$125:$L$126,2,FALSE)),0,HLOOKUP(CFs!$A22,Input!$C$125:$L$126,2,FALSE))</f>
        <v>0</v>
      </c>
      <c r="P22" s="10">
        <f>IF(ISERROR(HLOOKUP(CFs!$A22,Input!$C$129:$L$130,2,FALSE)),0,HLOOKUP(CFs!$A22,Input!$C$129:$L$130,2,FALSE))</f>
        <v>0</v>
      </c>
      <c r="Q22" s="10">
        <f>IF(ISERROR(HLOOKUP(CFs!$A22,Input!$C$131:$L$132,2,FALSE)),0,HLOOKUP(CFs!$A22,Input!$C$131:$L$132,2,FALSE))</f>
        <v>0</v>
      </c>
      <c r="R22" s="10">
        <f>IF(ISERROR(HLOOKUP(CFs!$A22,Input!$C$135:$L$136,2,FALSE)),0,HLOOKUP(CFs!$A22,Input!$C$135:$L$136,2,FALSE))</f>
        <v>0</v>
      </c>
      <c r="S22" s="10">
        <f>IF(ISERROR(HLOOKUP(CFs!$A22,Input!$C$137:$L$138,2,FALSE)),0,HLOOKUP(CFs!$A22,Input!$C$137:$L$138,2,FALSE))</f>
        <v>0</v>
      </c>
      <c r="T22" s="10">
        <f>IF(ISERROR(HLOOKUP(CFs!$A22,Input!$C$139:$L$140,2,FALSE)),0,HLOOKUP(CFs!$A22,Input!$C$139:$L$140,2,FALSE))</f>
        <v>0</v>
      </c>
      <c r="U22" s="10">
        <f>IF(ISERROR(HLOOKUP(CFs!$A22,Input!$C$141:$L$142,2,FALSE)),0,HLOOKUP(CFs!$A22,Input!$C$141:$L$142,2,FALSE))</f>
        <v>0</v>
      </c>
      <c r="V22" s="10">
        <f>IF(ISERROR(HLOOKUP(CFs!$A22,Input!$C$143:$L$144,2,FALSE)),0,HLOOKUP(CFs!$A22,Input!$C$143:$L$144,2,FALSE))</f>
        <v>0</v>
      </c>
      <c r="W22" s="10">
        <f>IF(ISERROR(HLOOKUP(CFs!$A22,Input!$C$145:$L$146,2,FALSE)),0,HLOOKUP(CFs!$A22,Input!$C$145:$L$146,2,FALSE))</f>
        <v>0</v>
      </c>
      <c r="X22" s="10">
        <f>IF(ISERROR(HLOOKUP(CFs!$A22,Input!$C$147:$L$148,2,FALSE)),0,HLOOKUP(CFs!$A22,Input!$C$147:$L$148,2,FALSE))</f>
        <v>0</v>
      </c>
      <c r="Y22" s="13">
        <f t="shared" si="2"/>
        <v>0</v>
      </c>
      <c r="Z22" s="10">
        <f>IF(ISERROR(HLOOKUP(CFs!$A22,Input!$C$152:$L$153,2,FALSE)),0,HLOOKUP(CFs!$A22,Input!$C$152:$L$153,2,FALSE))</f>
        <v>0</v>
      </c>
      <c r="AA22" s="10">
        <f>IF(ISERROR(HLOOKUP(CFs!$A22,Input!$C$149:$L$150,2,FALSE)),0,HLOOKUP(CFs!$A22,Input!$C$149:$L$150,2,FALSE))</f>
        <v>0</v>
      </c>
      <c r="AB22" s="10">
        <f>IF(ISERROR(HLOOKUP(CFs!$A22,Input!$C$151:$L$154,2,FALSE)),0,HLOOKUP(CFs!$A22,Input!$C$151:$L$154,2,FALSE))</f>
        <v>0</v>
      </c>
      <c r="AC22">
        <f t="shared" si="1"/>
        <v>0</v>
      </c>
      <c r="AD22" s="1" cm="1">
        <f t="array" ref="AD22">FirmaCashflow(Input!$C$165,Input!$C$166,Input!$C$163,Input!$D$163,CFs!A22)</f>
        <v>15833.333333333332</v>
      </c>
      <c r="AE22" s="2">
        <f>D22+G22+J22+Y22+AC22+AD22</f>
        <v>-437364.16666666663</v>
      </c>
      <c r="AF22" s="2">
        <f t="shared" si="3"/>
        <v>-24506730.833333343</v>
      </c>
    </row>
    <row r="23" spans="1:32" x14ac:dyDescent="0.25">
      <c r="A23">
        <v>21</v>
      </c>
      <c r="B23" s="1">
        <f>Input!$D$78/12</f>
        <v>0</v>
      </c>
      <c r="C23" s="1">
        <f>Input!$D$79/12</f>
        <v>0</v>
      </c>
      <c r="D23" s="2">
        <f>SUM(B23:C23)</f>
        <v>0</v>
      </c>
      <c r="E23" s="1">
        <f>Input!$D$82/12</f>
        <v>0</v>
      </c>
      <c r="F23" s="1">
        <f>Input!$D$83/12</f>
        <v>0</v>
      </c>
      <c r="G23" s="2">
        <f>SUM(E23:F23)</f>
        <v>0</v>
      </c>
      <c r="H23" s="1">
        <f>Input!$D$110/12</f>
        <v>-292489.16666666663</v>
      </c>
      <c r="I23" s="1">
        <f>Input!$D$111/12</f>
        <v>-160708.33333333331</v>
      </c>
      <c r="J23" s="10">
        <f t="shared" si="0"/>
        <v>-453197.49999999994</v>
      </c>
      <c r="K23" s="10">
        <f>IF(ISERROR(HLOOKUP(CFs!A23,Input!$C$115:$L$117,2,FALSE)),0,HLOOKUP(CFs!A23,Input!$C$115:$L$117,2,FALSE))</f>
        <v>0</v>
      </c>
      <c r="L23" s="10">
        <f>IF(ISERROR(HLOOKUP(CFs!A23,Input!$C$115:$L$117,3,FALSE)),0,HLOOKUP(CFs!A23,Input!$C$115:$L$117,3,FALSE))</f>
        <v>0</v>
      </c>
      <c r="M23" s="10">
        <f>IF(ISERROR(HLOOKUP(CFs!$A23,Input!$C$119:$L$120,2,FALSE)),0,HLOOKUP(CFs!$A23,Input!$C$119:$L$120,2,FALSE))</f>
        <v>0</v>
      </c>
      <c r="N23" s="10">
        <f>IF(ISERROR(HLOOKUP(CFs!$A23,Input!$C$123:$L$124,2,FALSE)),0,HLOOKUP(CFs!$A23,Input!$C$123:$L$124,2,FALSE))</f>
        <v>0</v>
      </c>
      <c r="O23" s="10">
        <f>IF(ISERROR(HLOOKUP(CFs!$A23,Input!$C$125:$L$126,2,FALSE)),0,HLOOKUP(CFs!$A23,Input!$C$125:$L$126,2,FALSE))</f>
        <v>0</v>
      </c>
      <c r="P23" s="10">
        <f>IF(ISERROR(HLOOKUP(CFs!$A23,Input!$C$129:$L$130,2,FALSE)),0,HLOOKUP(CFs!$A23,Input!$C$129:$L$130,2,FALSE))</f>
        <v>0</v>
      </c>
      <c r="Q23" s="10">
        <f>IF(ISERROR(HLOOKUP(CFs!$A23,Input!$C$131:$L$132,2,FALSE)),0,HLOOKUP(CFs!$A23,Input!$C$131:$L$132,2,FALSE))</f>
        <v>0</v>
      </c>
      <c r="R23" s="10">
        <f>IF(ISERROR(HLOOKUP(CFs!$A23,Input!$C$135:$L$136,2,FALSE)),0,HLOOKUP(CFs!$A23,Input!$C$135:$L$136,2,FALSE))</f>
        <v>0</v>
      </c>
      <c r="S23" s="10">
        <f>IF(ISERROR(HLOOKUP(CFs!$A23,Input!$C$137:$L$138,2,FALSE)),0,HLOOKUP(CFs!$A23,Input!$C$137:$L$138,2,FALSE))</f>
        <v>0</v>
      </c>
      <c r="T23" s="10">
        <f>IF(ISERROR(HLOOKUP(CFs!$A23,Input!$C$139:$L$140,2,FALSE)),0,HLOOKUP(CFs!$A23,Input!$C$139:$L$140,2,FALSE))</f>
        <v>0</v>
      </c>
      <c r="U23" s="10">
        <f>IF(ISERROR(HLOOKUP(CFs!$A23,Input!$C$141:$L$142,2,FALSE)),0,HLOOKUP(CFs!$A23,Input!$C$141:$L$142,2,FALSE))</f>
        <v>0</v>
      </c>
      <c r="V23" s="10">
        <f>IF(ISERROR(HLOOKUP(CFs!$A23,Input!$C$143:$L$144,2,FALSE)),0,HLOOKUP(CFs!$A23,Input!$C$143:$L$144,2,FALSE))</f>
        <v>0</v>
      </c>
      <c r="W23" s="10">
        <f>IF(ISERROR(HLOOKUP(CFs!$A23,Input!$C$145:$L$146,2,FALSE)),0,HLOOKUP(CFs!$A23,Input!$C$145:$L$146,2,FALSE))</f>
        <v>0</v>
      </c>
      <c r="X23" s="10">
        <f>IF(ISERROR(HLOOKUP(CFs!$A23,Input!$C$147:$L$148,2,FALSE)),0,HLOOKUP(CFs!$A23,Input!$C$147:$L$148,2,FALSE))</f>
        <v>0</v>
      </c>
      <c r="Y23" s="13">
        <f t="shared" si="2"/>
        <v>0</v>
      </c>
      <c r="Z23" s="10">
        <f>IF(ISERROR(HLOOKUP(CFs!$A23,Input!$C$152:$L$153,2,FALSE)),0,HLOOKUP(CFs!$A23,Input!$C$152:$L$153,2,FALSE))</f>
        <v>0</v>
      </c>
      <c r="AA23" s="10">
        <f>IF(ISERROR(HLOOKUP(CFs!$A23,Input!$C$149:$L$150,2,FALSE)),0,HLOOKUP(CFs!$A23,Input!$C$149:$L$150,2,FALSE))</f>
        <v>0</v>
      </c>
      <c r="AB23" s="10">
        <f>IF(ISERROR(HLOOKUP(CFs!$A23,Input!$C$151:$L$154,2,FALSE)),0,HLOOKUP(CFs!$A23,Input!$C$151:$L$154,2,FALSE))</f>
        <v>0</v>
      </c>
      <c r="AC23">
        <f t="shared" si="1"/>
        <v>0</v>
      </c>
      <c r="AD23" s="1" cm="1">
        <f t="array" ref="AD23">FirmaCashflow(Input!$C$165,Input!$C$166,Input!$C$163,Input!$D$163,CFs!A23)</f>
        <v>15833.333333333332</v>
      </c>
      <c r="AE23" s="2">
        <f>D23+G23+J23+Y23+AC23+AD23</f>
        <v>-437364.16666666663</v>
      </c>
      <c r="AF23" s="2">
        <f t="shared" si="3"/>
        <v>-24944095.000000011</v>
      </c>
    </row>
    <row r="24" spans="1:32" x14ac:dyDescent="0.25">
      <c r="A24">
        <v>22</v>
      </c>
      <c r="B24" s="1">
        <f>Input!$D$78/12</f>
        <v>0</v>
      </c>
      <c r="C24" s="1">
        <f>Input!$D$79/12</f>
        <v>0</v>
      </c>
      <c r="D24" s="2">
        <f>SUM(B24:C24)</f>
        <v>0</v>
      </c>
      <c r="E24" s="1">
        <f>Input!$D$82/12</f>
        <v>0</v>
      </c>
      <c r="F24" s="1">
        <f>Input!$D$83/12</f>
        <v>0</v>
      </c>
      <c r="G24" s="2">
        <f>SUM(E24:F24)</f>
        <v>0</v>
      </c>
      <c r="H24" s="1">
        <f>Input!$D$110/12</f>
        <v>-292489.16666666663</v>
      </c>
      <c r="I24" s="1">
        <f>Input!$D$111/12</f>
        <v>-160708.33333333331</v>
      </c>
      <c r="J24" s="10">
        <f t="shared" si="0"/>
        <v>-453197.49999999994</v>
      </c>
      <c r="K24" s="10">
        <f>IF(ISERROR(HLOOKUP(CFs!A24,Input!$C$115:$L$117,2,FALSE)),0,HLOOKUP(CFs!A24,Input!$C$115:$L$117,2,FALSE))</f>
        <v>0</v>
      </c>
      <c r="L24" s="10">
        <f>IF(ISERROR(HLOOKUP(CFs!A24,Input!$C$115:$L$117,3,FALSE)),0,HLOOKUP(CFs!A24,Input!$C$115:$L$117,3,FALSE))</f>
        <v>0</v>
      </c>
      <c r="M24" s="10">
        <f>IF(ISERROR(HLOOKUP(CFs!$A24,Input!$C$119:$L$120,2,FALSE)),0,HLOOKUP(CFs!$A24,Input!$C$119:$L$120,2,FALSE))</f>
        <v>0</v>
      </c>
      <c r="N24" s="10">
        <f>IF(ISERROR(HLOOKUP(CFs!$A24,Input!$C$123:$L$124,2,FALSE)),0,HLOOKUP(CFs!$A24,Input!$C$123:$L$124,2,FALSE))</f>
        <v>0</v>
      </c>
      <c r="O24" s="10">
        <f>IF(ISERROR(HLOOKUP(CFs!$A24,Input!$C$125:$L$126,2,FALSE)),0,HLOOKUP(CFs!$A24,Input!$C$125:$L$126,2,FALSE))</f>
        <v>0</v>
      </c>
      <c r="P24" s="10">
        <f>IF(ISERROR(HLOOKUP(CFs!$A24,Input!$C$129:$L$130,2,FALSE)),0,HLOOKUP(CFs!$A24,Input!$C$129:$L$130,2,FALSE))</f>
        <v>0</v>
      </c>
      <c r="Q24" s="10">
        <f>IF(ISERROR(HLOOKUP(CFs!$A24,Input!$C$131:$L$132,2,FALSE)),0,HLOOKUP(CFs!$A24,Input!$C$131:$L$132,2,FALSE))</f>
        <v>0</v>
      </c>
      <c r="R24" s="10">
        <f>IF(ISERROR(HLOOKUP(CFs!$A24,Input!$C$135:$L$136,2,FALSE)),0,HLOOKUP(CFs!$A24,Input!$C$135:$L$136,2,FALSE))</f>
        <v>0</v>
      </c>
      <c r="S24" s="10">
        <f>IF(ISERROR(HLOOKUP(CFs!$A24,Input!$C$137:$L$138,2,FALSE)),0,HLOOKUP(CFs!$A24,Input!$C$137:$L$138,2,FALSE))</f>
        <v>0</v>
      </c>
      <c r="T24" s="10">
        <f>IF(ISERROR(HLOOKUP(CFs!$A24,Input!$C$139:$L$140,2,FALSE)),0,HLOOKUP(CFs!$A24,Input!$C$139:$L$140,2,FALSE))</f>
        <v>0</v>
      </c>
      <c r="U24" s="10">
        <f>IF(ISERROR(HLOOKUP(CFs!$A24,Input!$C$141:$L$142,2,FALSE)),0,HLOOKUP(CFs!$A24,Input!$C$141:$L$142,2,FALSE))</f>
        <v>0</v>
      </c>
      <c r="V24" s="10">
        <f>IF(ISERROR(HLOOKUP(CFs!$A24,Input!$C$143:$L$144,2,FALSE)),0,HLOOKUP(CFs!$A24,Input!$C$143:$L$144,2,FALSE))</f>
        <v>0</v>
      </c>
      <c r="W24" s="10">
        <f>IF(ISERROR(HLOOKUP(CFs!$A24,Input!$C$145:$L$146,2,FALSE)),0,HLOOKUP(CFs!$A24,Input!$C$145:$L$146,2,FALSE))</f>
        <v>0</v>
      </c>
      <c r="X24" s="10">
        <f>IF(ISERROR(HLOOKUP(CFs!$A24,Input!$C$147:$L$148,2,FALSE)),0,HLOOKUP(CFs!$A24,Input!$C$147:$L$148,2,FALSE))</f>
        <v>0</v>
      </c>
      <c r="Y24" s="13">
        <f t="shared" si="2"/>
        <v>0</v>
      </c>
      <c r="Z24" s="10">
        <f>IF(ISERROR(HLOOKUP(CFs!$A24,Input!$C$152:$L$153,2,FALSE)),0,HLOOKUP(CFs!$A24,Input!$C$152:$L$153,2,FALSE))</f>
        <v>0</v>
      </c>
      <c r="AA24" s="10">
        <f>IF(ISERROR(HLOOKUP(CFs!$A24,Input!$C$149:$L$150,2,FALSE)),0,HLOOKUP(CFs!$A24,Input!$C$149:$L$150,2,FALSE))</f>
        <v>0</v>
      </c>
      <c r="AB24" s="10">
        <f>IF(ISERROR(HLOOKUP(CFs!$A24,Input!$C$151:$L$154,2,FALSE)),0,HLOOKUP(CFs!$A24,Input!$C$151:$L$154,2,FALSE))</f>
        <v>0</v>
      </c>
      <c r="AC24">
        <f t="shared" si="1"/>
        <v>0</v>
      </c>
      <c r="AD24" s="1" cm="1">
        <f t="array" ref="AD24">FirmaCashflow(Input!$C$165,Input!$C$166,Input!$C$163,Input!$D$163,CFs!A24)</f>
        <v>15833.333333333332</v>
      </c>
      <c r="AE24" s="2">
        <f>D24+G24+J24+Y24+AC24+AD24</f>
        <v>-437364.16666666663</v>
      </c>
      <c r="AF24" s="2">
        <f t="shared" si="3"/>
        <v>-25381459.166666679</v>
      </c>
    </row>
    <row r="25" spans="1:32" x14ac:dyDescent="0.25">
      <c r="A25">
        <v>23</v>
      </c>
      <c r="B25" s="1">
        <f>Input!$D$78/12</f>
        <v>0</v>
      </c>
      <c r="C25" s="1">
        <f>Input!$D$79/12</f>
        <v>0</v>
      </c>
      <c r="D25" s="2">
        <f>SUM(B25:C25)</f>
        <v>0</v>
      </c>
      <c r="E25" s="1">
        <f>Input!$D$82/12</f>
        <v>0</v>
      </c>
      <c r="F25" s="1">
        <f>Input!$D$83/12</f>
        <v>0</v>
      </c>
      <c r="G25" s="2">
        <f>SUM(E25:F25)</f>
        <v>0</v>
      </c>
      <c r="H25" s="1">
        <f>Input!$D$110/12</f>
        <v>-292489.16666666663</v>
      </c>
      <c r="I25" s="1">
        <f>Input!$D$111/12</f>
        <v>-160708.33333333331</v>
      </c>
      <c r="J25" s="10">
        <f t="shared" si="0"/>
        <v>-453197.49999999994</v>
      </c>
      <c r="K25" s="10">
        <f>IF(ISERROR(HLOOKUP(CFs!A25,Input!$C$115:$L$117,2,FALSE)),0,HLOOKUP(CFs!A25,Input!$C$115:$L$117,2,FALSE))</f>
        <v>0</v>
      </c>
      <c r="L25" s="10">
        <f>IF(ISERROR(HLOOKUP(CFs!A25,Input!$C$115:$L$117,3,FALSE)),0,HLOOKUP(CFs!A25,Input!$C$115:$L$117,3,FALSE))</f>
        <v>0</v>
      </c>
      <c r="M25" s="10">
        <f>IF(ISERROR(HLOOKUP(CFs!$A25,Input!$C$119:$L$120,2,FALSE)),0,HLOOKUP(CFs!$A25,Input!$C$119:$L$120,2,FALSE))</f>
        <v>0</v>
      </c>
      <c r="N25" s="10">
        <f>IF(ISERROR(HLOOKUP(CFs!$A25,Input!$C$123:$L$124,2,FALSE)),0,HLOOKUP(CFs!$A25,Input!$C$123:$L$124,2,FALSE))</f>
        <v>0</v>
      </c>
      <c r="O25" s="10">
        <f>IF(ISERROR(HLOOKUP(CFs!$A25,Input!$C$125:$L$126,2,FALSE)),0,HLOOKUP(CFs!$A25,Input!$C$125:$L$126,2,FALSE))</f>
        <v>0</v>
      </c>
      <c r="P25" s="10">
        <f>IF(ISERROR(HLOOKUP(CFs!$A25,Input!$C$129:$L$130,2,FALSE)),0,HLOOKUP(CFs!$A25,Input!$C$129:$L$130,2,FALSE))</f>
        <v>0</v>
      </c>
      <c r="Q25" s="10">
        <f>IF(ISERROR(HLOOKUP(CFs!$A25,Input!$C$131:$L$132,2,FALSE)),0,HLOOKUP(CFs!$A25,Input!$C$131:$L$132,2,FALSE))</f>
        <v>0</v>
      </c>
      <c r="R25" s="10">
        <f>IF(ISERROR(HLOOKUP(CFs!$A25,Input!$C$135:$L$136,2,FALSE)),0,HLOOKUP(CFs!$A25,Input!$C$135:$L$136,2,FALSE))</f>
        <v>0</v>
      </c>
      <c r="S25" s="10">
        <f>IF(ISERROR(HLOOKUP(CFs!$A25,Input!$C$137:$L$138,2,FALSE)),0,HLOOKUP(CFs!$A25,Input!$C$137:$L$138,2,FALSE))</f>
        <v>0</v>
      </c>
      <c r="T25" s="10">
        <f>IF(ISERROR(HLOOKUP(CFs!$A25,Input!$C$139:$L$140,2,FALSE)),0,HLOOKUP(CFs!$A25,Input!$C$139:$L$140,2,FALSE))</f>
        <v>0</v>
      </c>
      <c r="U25" s="10">
        <f>IF(ISERROR(HLOOKUP(CFs!$A25,Input!$C$141:$L$142,2,FALSE)),0,HLOOKUP(CFs!$A25,Input!$C$141:$L$142,2,FALSE))</f>
        <v>0</v>
      </c>
      <c r="V25" s="10">
        <f>IF(ISERROR(HLOOKUP(CFs!$A25,Input!$C$143:$L$144,2,FALSE)),0,HLOOKUP(CFs!$A25,Input!$C$143:$L$144,2,FALSE))</f>
        <v>0</v>
      </c>
      <c r="W25" s="10">
        <f>IF(ISERROR(HLOOKUP(CFs!$A25,Input!$C$145:$L$146,2,FALSE)),0,HLOOKUP(CFs!$A25,Input!$C$145:$L$146,2,FALSE))</f>
        <v>0</v>
      </c>
      <c r="X25" s="10">
        <f>IF(ISERROR(HLOOKUP(CFs!$A25,Input!$C$147:$L$148,2,FALSE)),0,HLOOKUP(CFs!$A25,Input!$C$147:$L$148,2,FALSE))</f>
        <v>0</v>
      </c>
      <c r="Y25" s="13">
        <f t="shared" si="2"/>
        <v>0</v>
      </c>
      <c r="Z25" s="10">
        <f>IF(ISERROR(HLOOKUP(CFs!$A25,Input!$C$152:$L$153,2,FALSE)),0,HLOOKUP(CFs!$A25,Input!$C$152:$L$153,2,FALSE))</f>
        <v>0</v>
      </c>
      <c r="AA25" s="10">
        <f>IF(ISERROR(HLOOKUP(CFs!$A25,Input!$C$149:$L$150,2,FALSE)),0,HLOOKUP(CFs!$A25,Input!$C$149:$L$150,2,FALSE))</f>
        <v>0</v>
      </c>
      <c r="AB25" s="10">
        <f>IF(ISERROR(HLOOKUP(CFs!$A25,Input!$C$151:$L$154,2,FALSE)),0,HLOOKUP(CFs!$A25,Input!$C$151:$L$154,2,FALSE))</f>
        <v>0</v>
      </c>
      <c r="AC25">
        <f t="shared" si="1"/>
        <v>0</v>
      </c>
      <c r="AD25" s="1" cm="1">
        <f t="array" ref="AD25">FirmaCashflow(Input!$C$165,Input!$C$166,Input!$C$163,Input!$D$163,CFs!A25)</f>
        <v>15833.333333333332</v>
      </c>
      <c r="AE25" s="2">
        <f>D25+G25+J25+Y25+AC25+AD25</f>
        <v>-437364.16666666663</v>
      </c>
      <c r="AF25" s="2">
        <f t="shared" si="3"/>
        <v>-25818823.333333347</v>
      </c>
    </row>
    <row r="26" spans="1:32" x14ac:dyDescent="0.25">
      <c r="A26">
        <v>24</v>
      </c>
      <c r="B26" s="1">
        <f>Input!$D$78/12</f>
        <v>0</v>
      </c>
      <c r="C26" s="1">
        <f>Input!$D$79/12</f>
        <v>0</v>
      </c>
      <c r="D26" s="2">
        <f>SUM(B26:C26)</f>
        <v>0</v>
      </c>
      <c r="E26" s="1">
        <f>Input!$D$82/12</f>
        <v>0</v>
      </c>
      <c r="F26" s="1">
        <f>Input!$D$83/12</f>
        <v>0</v>
      </c>
      <c r="G26" s="2">
        <f>SUM(E26:F26)</f>
        <v>0</v>
      </c>
      <c r="H26" s="1">
        <f>Input!$D$110/12</f>
        <v>-292489.16666666663</v>
      </c>
      <c r="I26" s="1">
        <f>Input!$D$111/12</f>
        <v>-160708.33333333331</v>
      </c>
      <c r="J26" s="10">
        <f t="shared" si="0"/>
        <v>-453197.49999999994</v>
      </c>
      <c r="K26" s="10">
        <f>IF(ISERROR(HLOOKUP(CFs!A26,Input!$C$115:$L$117,2,FALSE)),0,HLOOKUP(CFs!A26,Input!$C$115:$L$117,2,FALSE))</f>
        <v>0</v>
      </c>
      <c r="L26" s="10">
        <f>IF(ISERROR(HLOOKUP(CFs!A26,Input!$C$115:$L$117,3,FALSE)),0,HLOOKUP(CFs!A26,Input!$C$115:$L$117,3,FALSE))</f>
        <v>0</v>
      </c>
      <c r="M26" s="10">
        <f>IF(ISERROR(HLOOKUP(CFs!$A26,Input!$C$119:$L$120,2,FALSE)),0,HLOOKUP(CFs!$A26,Input!$C$119:$L$120,2,FALSE))</f>
        <v>0</v>
      </c>
      <c r="N26" s="10">
        <f>IF(ISERROR(HLOOKUP(CFs!$A26,Input!$C$123:$L$124,2,FALSE)),0,HLOOKUP(CFs!$A26,Input!$C$123:$L$124,2,FALSE))</f>
        <v>0</v>
      </c>
      <c r="O26" s="10">
        <f>IF(ISERROR(HLOOKUP(CFs!$A26,Input!$C$125:$L$126,2,FALSE)),0,HLOOKUP(CFs!$A26,Input!$C$125:$L$126,2,FALSE))</f>
        <v>0</v>
      </c>
      <c r="P26" s="10">
        <f>IF(ISERROR(HLOOKUP(CFs!$A26,Input!$C$129:$L$130,2,FALSE)),0,HLOOKUP(CFs!$A26,Input!$C$129:$L$130,2,FALSE))</f>
        <v>0</v>
      </c>
      <c r="Q26" s="10">
        <f>IF(ISERROR(HLOOKUP(CFs!$A26,Input!$C$131:$L$132,2,FALSE)),0,HLOOKUP(CFs!$A26,Input!$C$131:$L$132,2,FALSE))</f>
        <v>0</v>
      </c>
      <c r="R26" s="10">
        <f>IF(ISERROR(HLOOKUP(CFs!$A26,Input!$C$135:$L$136,2,FALSE)),0,HLOOKUP(CFs!$A26,Input!$C$135:$L$136,2,FALSE))</f>
        <v>0</v>
      </c>
      <c r="S26" s="10">
        <f>IF(ISERROR(HLOOKUP(CFs!$A26,Input!$C$137:$L$138,2,FALSE)),0,HLOOKUP(CFs!$A26,Input!$C$137:$L$138,2,FALSE))</f>
        <v>0</v>
      </c>
      <c r="T26" s="10">
        <f>IF(ISERROR(HLOOKUP(CFs!$A26,Input!$C$139:$L$140,2,FALSE)),0,HLOOKUP(CFs!$A26,Input!$C$139:$L$140,2,FALSE))</f>
        <v>0</v>
      </c>
      <c r="U26" s="10">
        <f>IF(ISERROR(HLOOKUP(CFs!$A26,Input!$C$141:$L$142,2,FALSE)),0,HLOOKUP(CFs!$A26,Input!$C$141:$L$142,2,FALSE))</f>
        <v>0</v>
      </c>
      <c r="V26" s="10">
        <f>IF(ISERROR(HLOOKUP(CFs!$A26,Input!$C$143:$L$144,2,FALSE)),0,HLOOKUP(CFs!$A26,Input!$C$143:$L$144,2,FALSE))</f>
        <v>0</v>
      </c>
      <c r="W26" s="10">
        <f>IF(ISERROR(HLOOKUP(CFs!$A26,Input!$C$145:$L$146,2,FALSE)),0,HLOOKUP(CFs!$A26,Input!$C$145:$L$146,2,FALSE))</f>
        <v>0</v>
      </c>
      <c r="X26" s="10">
        <f>IF(ISERROR(HLOOKUP(CFs!$A26,Input!$C$147:$L$148,2,FALSE)),0,HLOOKUP(CFs!$A26,Input!$C$147:$L$148,2,FALSE))</f>
        <v>0</v>
      </c>
      <c r="Y26" s="13">
        <f t="shared" si="2"/>
        <v>0</v>
      </c>
      <c r="Z26" s="10">
        <f>IF(ISERROR(HLOOKUP(CFs!$A26,Input!$C$152:$L$153,2,FALSE)),0,HLOOKUP(CFs!$A26,Input!$C$152:$L$153,2,FALSE))</f>
        <v>0</v>
      </c>
      <c r="AA26" s="10">
        <f>IF(ISERROR(HLOOKUP(CFs!$A26,Input!$C$149:$L$150,2,FALSE)),0,HLOOKUP(CFs!$A26,Input!$C$149:$L$150,2,FALSE))</f>
        <v>0</v>
      </c>
      <c r="AB26" s="10">
        <f>IF(ISERROR(HLOOKUP(CFs!$A26,Input!$C$151:$L$154,2,FALSE)),0,HLOOKUP(CFs!$A26,Input!$C$151:$L$154,2,FALSE))</f>
        <v>0</v>
      </c>
      <c r="AC26">
        <f t="shared" si="1"/>
        <v>0</v>
      </c>
      <c r="AD26" s="1" cm="1">
        <f t="array" ref="AD26">FirmaCashflow(Input!$C$165,Input!$C$166,Input!$C$163,Input!$D$163,CFs!A26)</f>
        <v>15833.333333333332</v>
      </c>
      <c r="AE26" s="2">
        <f>D26+G26+J26+Y26+AC26+AD26</f>
        <v>-437364.16666666663</v>
      </c>
      <c r="AF26" s="2">
        <f t="shared" si="3"/>
        <v>-26256187.500000015</v>
      </c>
    </row>
    <row r="27" spans="1:32" x14ac:dyDescent="0.25">
      <c r="A27">
        <v>25</v>
      </c>
      <c r="B27" s="1">
        <f>Input!$E$78/12</f>
        <v>3749287.4999999986</v>
      </c>
      <c r="C27" s="1">
        <f>Input!$E$79/12</f>
        <v>258879.37499999997</v>
      </c>
      <c r="D27" s="2">
        <f>SUM(B27:C27)</f>
        <v>4008166.8749999986</v>
      </c>
      <c r="E27" s="1">
        <f>Input!$E$82/12</f>
        <v>-1862389.2437499997</v>
      </c>
      <c r="F27" s="1">
        <f>Input!$E$83/12</f>
        <v>-129439.68749999999</v>
      </c>
      <c r="G27" s="2">
        <f>SUM(E27:F27)</f>
        <v>-1991828.9312499997</v>
      </c>
      <c r="H27" s="1">
        <f>Input!$E$110/12</f>
        <v>-433896.42916666652</v>
      </c>
      <c r="I27" s="1">
        <f>Input!$E$111/12</f>
        <v>-197373.9395833333</v>
      </c>
      <c r="J27" s="10">
        <f t="shared" si="0"/>
        <v>-631270.36874999979</v>
      </c>
      <c r="K27" s="10">
        <f>IF(ISERROR(HLOOKUP(CFs!A27,Input!$C$115:$L$117,2,FALSE)),0,HLOOKUP(CFs!A27,Input!$C$115:$L$117,2,FALSE))</f>
        <v>-237981.97499999995</v>
      </c>
      <c r="L27" s="10">
        <f>IF(ISERROR(HLOOKUP(CFs!A27,Input!$C$115:$L$117,3,FALSE)),0,HLOOKUP(CFs!A27,Input!$C$115:$L$117,3,FALSE))</f>
        <v>-136504.81249999997</v>
      </c>
      <c r="M27" s="10">
        <f>IF(ISERROR(HLOOKUP(CFs!$A27,Input!$C$119:$L$120,2,FALSE)),0,HLOOKUP(CFs!$A27,Input!$C$119:$L$120,2,FALSE))</f>
        <v>0</v>
      </c>
      <c r="N27" s="10">
        <f>IF(ISERROR(HLOOKUP(CFs!$A27,Input!$C$123:$L$124,2,FALSE)),0,HLOOKUP(CFs!$A27,Input!$C$123:$L$124,2,FALSE))</f>
        <v>-100000</v>
      </c>
      <c r="O27" s="10">
        <f>IF(ISERROR(HLOOKUP(CFs!$A27,Input!$C$125:$L$126,2,FALSE)),0,HLOOKUP(CFs!$A27,Input!$C$125:$L$126,2,FALSE))</f>
        <v>-500000</v>
      </c>
      <c r="P27" s="10">
        <f>IF(ISERROR(HLOOKUP(CFs!$A27,Input!$C$129:$L$130,2,FALSE)),0,HLOOKUP(CFs!$A27,Input!$C$129:$L$130,2,FALSE))</f>
        <v>-200000</v>
      </c>
      <c r="Q27" s="10">
        <f>IF(ISERROR(HLOOKUP(CFs!$A27,Input!$C$131:$L$132,2,FALSE)),0,HLOOKUP(CFs!$A27,Input!$C$131:$L$132,2,FALSE))</f>
        <v>0</v>
      </c>
      <c r="R27" s="10">
        <f>IF(ISERROR(HLOOKUP(CFs!$A27,Input!$C$135:$L$136,2,FALSE)),0,HLOOKUP(CFs!$A27,Input!$C$135:$L$136,2,FALSE))</f>
        <v>0</v>
      </c>
      <c r="S27" s="10">
        <f>IF(ISERROR(HLOOKUP(CFs!$A27,Input!$C$137:$L$138,2,FALSE)),0,HLOOKUP(CFs!$A27,Input!$C$137:$L$138,2,FALSE))</f>
        <v>0</v>
      </c>
      <c r="T27" s="10">
        <f>IF(ISERROR(HLOOKUP(CFs!$A27,Input!$C$139:$L$140,2,FALSE)),0,HLOOKUP(CFs!$A27,Input!$C$139:$L$140,2,FALSE))</f>
        <v>0</v>
      </c>
      <c r="U27" s="10">
        <f>IF(ISERROR(HLOOKUP(CFs!$A27,Input!$C$141:$L$142,2,FALSE)),0,HLOOKUP(CFs!$A27,Input!$C$141:$L$142,2,FALSE))</f>
        <v>0</v>
      </c>
      <c r="V27" s="10">
        <f>IF(ISERROR(HLOOKUP(CFs!$A27,Input!$C$143:$L$144,2,FALSE)),0,HLOOKUP(CFs!$A27,Input!$C$143:$L$144,2,FALSE))</f>
        <v>0</v>
      </c>
      <c r="W27" s="10">
        <f>IF(ISERROR(HLOOKUP(CFs!$A27,Input!$C$145:$L$146,2,FALSE)),0,HLOOKUP(CFs!$A27,Input!$C$145:$L$146,2,FALSE))</f>
        <v>0</v>
      </c>
      <c r="X27" s="10">
        <f>IF(ISERROR(HLOOKUP(CFs!$A27,Input!$C$147:$L$148,2,FALSE)),0,HLOOKUP(CFs!$A27,Input!$C$147:$L$148,2,FALSE))</f>
        <v>0</v>
      </c>
      <c r="Y27" s="13">
        <f t="shared" si="2"/>
        <v>-1174486.7874999999</v>
      </c>
      <c r="Z27" s="10">
        <f>IF(ISERROR(HLOOKUP(CFs!$A27,Input!$C$152:$L$153,2,FALSE)),0,HLOOKUP(CFs!$A27,Input!$C$152:$L$153,2,FALSE))</f>
        <v>0</v>
      </c>
      <c r="AA27" s="10">
        <f>IF(ISERROR(HLOOKUP(CFs!$A27,Input!$C$149:$L$150,2,FALSE)),0,HLOOKUP(CFs!$A27,Input!$C$149:$L$150,2,FALSE))</f>
        <v>0</v>
      </c>
      <c r="AB27" s="10">
        <f>IF(ISERROR(HLOOKUP(CFs!$A27,Input!$C$151:$L$154,2,FALSE)),0,HLOOKUP(CFs!$A27,Input!$C$151:$L$154,2,FALSE))</f>
        <v>0</v>
      </c>
      <c r="AC27">
        <f t="shared" si="1"/>
        <v>0</v>
      </c>
      <c r="AD27" s="1" cm="1">
        <f t="array" ref="AD27">FirmaCashflow(Input!$C$165,Input!$C$166,Input!$C$163,Input!$D$163,CFs!A27)</f>
        <v>15833.333333333332</v>
      </c>
      <c r="AE27" s="2">
        <f>D27+G27+J27+Y27+AC27+AD27</f>
        <v>226414.12083333274</v>
      </c>
      <c r="AF27" s="2">
        <f t="shared" si="3"/>
        <v>-26029773.379166681</v>
      </c>
    </row>
    <row r="28" spans="1:32" x14ac:dyDescent="0.25">
      <c r="A28">
        <v>26</v>
      </c>
      <c r="B28" s="1">
        <f>Input!$E$78/12</f>
        <v>3749287.4999999986</v>
      </c>
      <c r="C28" s="1">
        <f>Input!$E$79/12</f>
        <v>258879.37499999997</v>
      </c>
      <c r="D28" s="2">
        <f>SUM(B28:C28)</f>
        <v>4008166.8749999986</v>
      </c>
      <c r="E28" s="1">
        <f>Input!$E$82/12</f>
        <v>-1862389.2437499997</v>
      </c>
      <c r="F28" s="1">
        <f>Input!$E$83/12</f>
        <v>-129439.68749999999</v>
      </c>
      <c r="G28" s="2">
        <f>SUM(E28:F28)</f>
        <v>-1991828.9312499997</v>
      </c>
      <c r="H28" s="1">
        <f>Input!$E$110/12</f>
        <v>-433896.42916666652</v>
      </c>
      <c r="I28" s="1">
        <f>Input!$E$111/12</f>
        <v>-197373.9395833333</v>
      </c>
      <c r="J28" s="10">
        <f t="shared" si="0"/>
        <v>-631270.36874999979</v>
      </c>
      <c r="K28" s="10">
        <f>IF(ISERROR(HLOOKUP(CFs!A28,Input!$C$115:$L$117,2,FALSE)),0,HLOOKUP(CFs!A28,Input!$C$115:$L$117,2,FALSE))</f>
        <v>0</v>
      </c>
      <c r="L28" s="10">
        <f>IF(ISERROR(HLOOKUP(CFs!A28,Input!$C$115:$L$117,3,FALSE)),0,HLOOKUP(CFs!A28,Input!$C$115:$L$117,3,FALSE))</f>
        <v>0</v>
      </c>
      <c r="M28" s="10">
        <f>IF(ISERROR(HLOOKUP(CFs!$A28,Input!$C$119:$L$120,2,FALSE)),0,HLOOKUP(CFs!$A28,Input!$C$119:$L$120,2,FALSE))</f>
        <v>0</v>
      </c>
      <c r="N28" s="10">
        <f>IF(ISERROR(HLOOKUP(CFs!$A28,Input!$C$123:$L$124,2,FALSE)),0,HLOOKUP(CFs!$A28,Input!$C$123:$L$124,2,FALSE))</f>
        <v>0</v>
      </c>
      <c r="O28" s="10">
        <f>IF(ISERROR(HLOOKUP(CFs!$A28,Input!$C$125:$L$126,2,FALSE)),0,HLOOKUP(CFs!$A28,Input!$C$125:$L$126,2,FALSE))</f>
        <v>0</v>
      </c>
      <c r="P28" s="10">
        <f>IF(ISERROR(HLOOKUP(CFs!$A28,Input!$C$129:$L$130,2,FALSE)),0,HLOOKUP(CFs!$A28,Input!$C$129:$L$130,2,FALSE))</f>
        <v>0</v>
      </c>
      <c r="Q28" s="10">
        <f>IF(ISERROR(HLOOKUP(CFs!$A28,Input!$C$131:$L$132,2,FALSE)),0,HLOOKUP(CFs!$A28,Input!$C$131:$L$132,2,FALSE))</f>
        <v>0</v>
      </c>
      <c r="R28" s="10">
        <f>IF(ISERROR(HLOOKUP(CFs!$A28,Input!$C$135:$L$136,2,FALSE)),0,HLOOKUP(CFs!$A28,Input!$C$135:$L$136,2,FALSE))</f>
        <v>0</v>
      </c>
      <c r="S28" s="10">
        <f>IF(ISERROR(HLOOKUP(CFs!$A28,Input!$C$137:$L$138,2,FALSE)),0,HLOOKUP(CFs!$A28,Input!$C$137:$L$138,2,FALSE))</f>
        <v>0</v>
      </c>
      <c r="T28" s="10">
        <f>IF(ISERROR(HLOOKUP(CFs!$A28,Input!$C$139:$L$140,2,FALSE)),0,HLOOKUP(CFs!$A28,Input!$C$139:$L$140,2,FALSE))</f>
        <v>0</v>
      </c>
      <c r="U28" s="10">
        <f>IF(ISERROR(HLOOKUP(CFs!$A28,Input!$C$141:$L$142,2,FALSE)),0,HLOOKUP(CFs!$A28,Input!$C$141:$L$142,2,FALSE))</f>
        <v>0</v>
      </c>
      <c r="V28" s="10">
        <f>IF(ISERROR(HLOOKUP(CFs!$A28,Input!$C$143:$L$144,2,FALSE)),0,HLOOKUP(CFs!$A28,Input!$C$143:$L$144,2,FALSE))</f>
        <v>0</v>
      </c>
      <c r="W28" s="10">
        <f>IF(ISERROR(HLOOKUP(CFs!$A28,Input!$C$145:$L$146,2,FALSE)),0,HLOOKUP(CFs!$A28,Input!$C$145:$L$146,2,FALSE))</f>
        <v>0</v>
      </c>
      <c r="X28" s="10">
        <f>IF(ISERROR(HLOOKUP(CFs!$A28,Input!$C$147:$L$148,2,FALSE)),0,HLOOKUP(CFs!$A28,Input!$C$147:$L$148,2,FALSE))</f>
        <v>0</v>
      </c>
      <c r="Y28" s="13">
        <f t="shared" si="2"/>
        <v>0</v>
      </c>
      <c r="Z28" s="10">
        <f>IF(ISERROR(HLOOKUP(CFs!$A28,Input!$C$152:$L$153,2,FALSE)),0,HLOOKUP(CFs!$A28,Input!$C$152:$L$153,2,FALSE))</f>
        <v>0</v>
      </c>
      <c r="AA28" s="10">
        <f>IF(ISERROR(HLOOKUP(CFs!$A28,Input!$C$149:$L$150,2,FALSE)),0,HLOOKUP(CFs!$A28,Input!$C$149:$L$150,2,FALSE))</f>
        <v>0</v>
      </c>
      <c r="AB28" s="10">
        <f>IF(ISERROR(HLOOKUP(CFs!$A28,Input!$C$151:$L$154,2,FALSE)),0,HLOOKUP(CFs!$A28,Input!$C$151:$L$154,2,FALSE))</f>
        <v>0</v>
      </c>
      <c r="AC28">
        <f t="shared" si="1"/>
        <v>0</v>
      </c>
      <c r="AD28" s="1" cm="1">
        <f t="array" ref="AD28">FirmaCashflow(Input!$C$165,Input!$C$166,Input!$C$163,Input!$D$163,CFs!A28)</f>
        <v>15833.333333333332</v>
      </c>
      <c r="AE28" s="2">
        <f>D28+G28+J28+Y28+AC28+AD28</f>
        <v>1400900.9083333325</v>
      </c>
      <c r="AF28" s="2">
        <f t="shared" si="3"/>
        <v>-24628872.47083335</v>
      </c>
    </row>
    <row r="29" spans="1:32" x14ac:dyDescent="0.25">
      <c r="A29">
        <v>27</v>
      </c>
      <c r="B29" s="1">
        <f>Input!$E$78/12</f>
        <v>3749287.4999999986</v>
      </c>
      <c r="C29" s="1">
        <f>Input!$E$79/12</f>
        <v>258879.37499999997</v>
      </c>
      <c r="D29" s="2">
        <f>SUM(B29:C29)</f>
        <v>4008166.8749999986</v>
      </c>
      <c r="E29" s="1">
        <f>Input!$E$82/12</f>
        <v>-1862389.2437499997</v>
      </c>
      <c r="F29" s="1">
        <f>Input!$E$83/12</f>
        <v>-129439.68749999999</v>
      </c>
      <c r="G29" s="2">
        <f>SUM(E29:F29)</f>
        <v>-1991828.9312499997</v>
      </c>
      <c r="H29" s="1">
        <f>Input!$E$110/12</f>
        <v>-433896.42916666652</v>
      </c>
      <c r="I29" s="1">
        <f>Input!$E$111/12</f>
        <v>-197373.9395833333</v>
      </c>
      <c r="J29" s="10">
        <f t="shared" si="0"/>
        <v>-631270.36874999979</v>
      </c>
      <c r="K29" s="10">
        <f>IF(ISERROR(HLOOKUP(CFs!A29,Input!$C$115:$L$117,2,FALSE)),0,HLOOKUP(CFs!A29,Input!$C$115:$L$117,2,FALSE))</f>
        <v>0</v>
      </c>
      <c r="L29" s="10">
        <f>IF(ISERROR(HLOOKUP(CFs!A29,Input!$C$115:$L$117,3,FALSE)),0,HLOOKUP(CFs!A29,Input!$C$115:$L$117,3,FALSE))</f>
        <v>0</v>
      </c>
      <c r="M29" s="10">
        <f>IF(ISERROR(HLOOKUP(CFs!$A29,Input!$C$119:$L$120,2,FALSE)),0,HLOOKUP(CFs!$A29,Input!$C$119:$L$120,2,FALSE))</f>
        <v>0</v>
      </c>
      <c r="N29" s="10">
        <f>IF(ISERROR(HLOOKUP(CFs!$A29,Input!$C$123:$L$124,2,FALSE)),0,HLOOKUP(CFs!$A29,Input!$C$123:$L$124,2,FALSE))</f>
        <v>0</v>
      </c>
      <c r="O29" s="10">
        <f>IF(ISERROR(HLOOKUP(CFs!$A29,Input!$C$125:$L$126,2,FALSE)),0,HLOOKUP(CFs!$A29,Input!$C$125:$L$126,2,FALSE))</f>
        <v>0</v>
      </c>
      <c r="P29" s="10">
        <f>IF(ISERROR(HLOOKUP(CFs!$A29,Input!$C$129:$L$130,2,FALSE)),0,HLOOKUP(CFs!$A29,Input!$C$129:$L$130,2,FALSE))</f>
        <v>0</v>
      </c>
      <c r="Q29" s="10">
        <f>IF(ISERROR(HLOOKUP(CFs!$A29,Input!$C$131:$L$132,2,FALSE)),0,HLOOKUP(CFs!$A29,Input!$C$131:$L$132,2,FALSE))</f>
        <v>0</v>
      </c>
      <c r="R29" s="10">
        <f>IF(ISERROR(HLOOKUP(CFs!$A29,Input!$C$135:$L$136,2,FALSE)),0,HLOOKUP(CFs!$A29,Input!$C$135:$L$136,2,FALSE))</f>
        <v>0</v>
      </c>
      <c r="S29" s="10">
        <f>IF(ISERROR(HLOOKUP(CFs!$A29,Input!$C$137:$L$138,2,FALSE)),0,HLOOKUP(CFs!$A29,Input!$C$137:$L$138,2,FALSE))</f>
        <v>0</v>
      </c>
      <c r="T29" s="10">
        <f>IF(ISERROR(HLOOKUP(CFs!$A29,Input!$C$139:$L$140,2,FALSE)),0,HLOOKUP(CFs!$A29,Input!$C$139:$L$140,2,FALSE))</f>
        <v>0</v>
      </c>
      <c r="U29" s="10">
        <f>IF(ISERROR(HLOOKUP(CFs!$A29,Input!$C$141:$L$142,2,FALSE)),0,HLOOKUP(CFs!$A29,Input!$C$141:$L$142,2,FALSE))</f>
        <v>0</v>
      </c>
      <c r="V29" s="10">
        <f>IF(ISERROR(HLOOKUP(CFs!$A29,Input!$C$143:$L$144,2,FALSE)),0,HLOOKUP(CFs!$A29,Input!$C$143:$L$144,2,FALSE))</f>
        <v>0</v>
      </c>
      <c r="W29" s="10">
        <f>IF(ISERROR(HLOOKUP(CFs!$A29,Input!$C$145:$L$146,2,FALSE)),0,HLOOKUP(CFs!$A29,Input!$C$145:$L$146,2,FALSE))</f>
        <v>0</v>
      </c>
      <c r="X29" s="10">
        <f>IF(ISERROR(HLOOKUP(CFs!$A29,Input!$C$147:$L$148,2,FALSE)),0,HLOOKUP(CFs!$A29,Input!$C$147:$L$148,2,FALSE))</f>
        <v>0</v>
      </c>
      <c r="Y29" s="13">
        <f t="shared" si="2"/>
        <v>0</v>
      </c>
      <c r="Z29" s="10">
        <f>IF(ISERROR(HLOOKUP(CFs!$A29,Input!$C$152:$L$153,2,FALSE)),0,HLOOKUP(CFs!$A29,Input!$C$152:$L$153,2,FALSE))</f>
        <v>0</v>
      </c>
      <c r="AA29" s="10">
        <f>IF(ISERROR(HLOOKUP(CFs!$A29,Input!$C$149:$L$150,2,FALSE)),0,HLOOKUP(CFs!$A29,Input!$C$149:$L$150,2,FALSE))</f>
        <v>0</v>
      </c>
      <c r="AB29" s="10">
        <f>IF(ISERROR(HLOOKUP(CFs!$A29,Input!$C$151:$L$154,2,FALSE)),0,HLOOKUP(CFs!$A29,Input!$C$151:$L$154,2,FALSE))</f>
        <v>0</v>
      </c>
      <c r="AC29">
        <f t="shared" si="1"/>
        <v>0</v>
      </c>
      <c r="AD29" s="1" cm="1">
        <f t="array" ref="AD29">FirmaCashflow(Input!$C$165,Input!$C$166,Input!$C$163,Input!$D$163,CFs!A29)</f>
        <v>15833.333333333332</v>
      </c>
      <c r="AE29" s="2">
        <f>D29+G29+J29+Y29+AC29+AD29</f>
        <v>1400900.9083333325</v>
      </c>
      <c r="AF29" s="2">
        <f t="shared" si="3"/>
        <v>-23227971.562500019</v>
      </c>
    </row>
    <row r="30" spans="1:32" x14ac:dyDescent="0.25">
      <c r="A30">
        <v>28</v>
      </c>
      <c r="B30" s="1">
        <f>Input!$E$78/12</f>
        <v>3749287.4999999986</v>
      </c>
      <c r="C30" s="1">
        <f>Input!$E$79/12</f>
        <v>258879.37499999997</v>
      </c>
      <c r="D30" s="2">
        <f>SUM(B30:C30)</f>
        <v>4008166.8749999986</v>
      </c>
      <c r="E30" s="1">
        <f>Input!$E$82/12</f>
        <v>-1862389.2437499997</v>
      </c>
      <c r="F30" s="1">
        <f>Input!$E$83/12</f>
        <v>-129439.68749999999</v>
      </c>
      <c r="G30" s="2">
        <f>SUM(E30:F30)</f>
        <v>-1991828.9312499997</v>
      </c>
      <c r="H30" s="1">
        <f>Input!$E$110/12</f>
        <v>-433896.42916666652</v>
      </c>
      <c r="I30" s="1">
        <f>Input!$E$111/12</f>
        <v>-197373.9395833333</v>
      </c>
      <c r="J30" s="10">
        <f t="shared" si="0"/>
        <v>-631270.36874999979</v>
      </c>
      <c r="K30" s="10">
        <f>IF(ISERROR(HLOOKUP(CFs!A30,Input!$C$115:$L$117,2,FALSE)),0,HLOOKUP(CFs!A30,Input!$C$115:$L$117,2,FALSE))</f>
        <v>0</v>
      </c>
      <c r="L30" s="10">
        <f>IF(ISERROR(HLOOKUP(CFs!A30,Input!$C$115:$L$117,3,FALSE)),0,HLOOKUP(CFs!A30,Input!$C$115:$L$117,3,FALSE))</f>
        <v>0</v>
      </c>
      <c r="M30" s="10">
        <f>IF(ISERROR(HLOOKUP(CFs!$A30,Input!$C$119:$L$120,2,FALSE)),0,HLOOKUP(CFs!$A30,Input!$C$119:$L$120,2,FALSE))</f>
        <v>0</v>
      </c>
      <c r="N30" s="10">
        <f>IF(ISERROR(HLOOKUP(CFs!$A30,Input!$C$123:$L$124,2,FALSE)),0,HLOOKUP(CFs!$A30,Input!$C$123:$L$124,2,FALSE))</f>
        <v>0</v>
      </c>
      <c r="O30" s="10">
        <f>IF(ISERROR(HLOOKUP(CFs!$A30,Input!$C$125:$L$126,2,FALSE)),0,HLOOKUP(CFs!$A30,Input!$C$125:$L$126,2,FALSE))</f>
        <v>0</v>
      </c>
      <c r="P30" s="10">
        <f>IF(ISERROR(HLOOKUP(CFs!$A30,Input!$C$129:$L$130,2,FALSE)),0,HLOOKUP(CFs!$A30,Input!$C$129:$L$130,2,FALSE))</f>
        <v>0</v>
      </c>
      <c r="Q30" s="10">
        <f>IF(ISERROR(HLOOKUP(CFs!$A30,Input!$C$131:$L$132,2,FALSE)),0,HLOOKUP(CFs!$A30,Input!$C$131:$L$132,2,FALSE))</f>
        <v>0</v>
      </c>
      <c r="R30" s="10">
        <f>IF(ISERROR(HLOOKUP(CFs!$A30,Input!$C$135:$L$136,2,FALSE)),0,HLOOKUP(CFs!$A30,Input!$C$135:$L$136,2,FALSE))</f>
        <v>0</v>
      </c>
      <c r="S30" s="10">
        <f>IF(ISERROR(HLOOKUP(CFs!$A30,Input!$C$137:$L$138,2,FALSE)),0,HLOOKUP(CFs!$A30,Input!$C$137:$L$138,2,FALSE))</f>
        <v>0</v>
      </c>
      <c r="T30" s="10">
        <f>IF(ISERROR(HLOOKUP(CFs!$A30,Input!$C$139:$L$140,2,FALSE)),0,HLOOKUP(CFs!$A30,Input!$C$139:$L$140,2,FALSE))</f>
        <v>0</v>
      </c>
      <c r="U30" s="10">
        <f>IF(ISERROR(HLOOKUP(CFs!$A30,Input!$C$141:$L$142,2,FALSE)),0,HLOOKUP(CFs!$A30,Input!$C$141:$L$142,2,FALSE))</f>
        <v>0</v>
      </c>
      <c r="V30" s="10">
        <f>IF(ISERROR(HLOOKUP(CFs!$A30,Input!$C$143:$L$144,2,FALSE)),0,HLOOKUP(CFs!$A30,Input!$C$143:$L$144,2,FALSE))</f>
        <v>0</v>
      </c>
      <c r="W30" s="10">
        <f>IF(ISERROR(HLOOKUP(CFs!$A30,Input!$C$145:$L$146,2,FALSE)),0,HLOOKUP(CFs!$A30,Input!$C$145:$L$146,2,FALSE))</f>
        <v>0</v>
      </c>
      <c r="X30" s="10">
        <f>IF(ISERROR(HLOOKUP(CFs!$A30,Input!$C$147:$L$148,2,FALSE)),0,HLOOKUP(CFs!$A30,Input!$C$147:$L$148,2,FALSE))</f>
        <v>0</v>
      </c>
      <c r="Y30" s="13">
        <f t="shared" si="2"/>
        <v>0</v>
      </c>
      <c r="Z30" s="10">
        <f>IF(ISERROR(HLOOKUP(CFs!$A30,Input!$C$152:$L$153,2,FALSE)),0,HLOOKUP(CFs!$A30,Input!$C$152:$L$153,2,FALSE))</f>
        <v>0</v>
      </c>
      <c r="AA30" s="10">
        <f>IF(ISERROR(HLOOKUP(CFs!$A30,Input!$C$149:$L$150,2,FALSE)),0,HLOOKUP(CFs!$A30,Input!$C$149:$L$150,2,FALSE))</f>
        <v>0</v>
      </c>
      <c r="AB30" s="10">
        <f>IF(ISERROR(HLOOKUP(CFs!$A30,Input!$C$151:$L$154,2,FALSE)),0,HLOOKUP(CFs!$A30,Input!$C$151:$L$154,2,FALSE))</f>
        <v>0</v>
      </c>
      <c r="AC30">
        <f t="shared" si="1"/>
        <v>0</v>
      </c>
      <c r="AD30" s="1" cm="1">
        <f t="array" ref="AD30">FirmaCashflow(Input!$C$165,Input!$C$166,Input!$C$163,Input!$D$163,CFs!A30)</f>
        <v>15833.333333333332</v>
      </c>
      <c r="AE30" s="2">
        <f>D30+G30+J30+Y30+AC30+AD30</f>
        <v>1400900.9083333325</v>
      </c>
      <c r="AF30" s="2">
        <f t="shared" si="3"/>
        <v>-21827070.654166687</v>
      </c>
    </row>
    <row r="31" spans="1:32" x14ac:dyDescent="0.25">
      <c r="A31">
        <v>29</v>
      </c>
      <c r="B31" s="1">
        <f>Input!$E$78/12</f>
        <v>3749287.4999999986</v>
      </c>
      <c r="C31" s="1">
        <f>Input!$E$79/12</f>
        <v>258879.37499999997</v>
      </c>
      <c r="D31" s="2">
        <f>SUM(B31:C31)</f>
        <v>4008166.8749999986</v>
      </c>
      <c r="E31" s="1">
        <f>Input!$E$82/12</f>
        <v>-1862389.2437499997</v>
      </c>
      <c r="F31" s="1">
        <f>Input!$E$83/12</f>
        <v>-129439.68749999999</v>
      </c>
      <c r="G31" s="2">
        <f>SUM(E31:F31)</f>
        <v>-1991828.9312499997</v>
      </c>
      <c r="H31" s="1">
        <f>Input!$E$110/12</f>
        <v>-433896.42916666652</v>
      </c>
      <c r="I31" s="1">
        <f>Input!$E$111/12</f>
        <v>-197373.9395833333</v>
      </c>
      <c r="J31" s="10">
        <f t="shared" si="0"/>
        <v>-631270.36874999979</v>
      </c>
      <c r="K31" s="10">
        <f>IF(ISERROR(HLOOKUP(CFs!A31,Input!$C$115:$L$117,2,FALSE)),0,HLOOKUP(CFs!A31,Input!$C$115:$L$117,2,FALSE))</f>
        <v>0</v>
      </c>
      <c r="L31" s="10">
        <f>IF(ISERROR(HLOOKUP(CFs!A31,Input!$C$115:$L$117,3,FALSE)),0,HLOOKUP(CFs!A31,Input!$C$115:$L$117,3,FALSE))</f>
        <v>0</v>
      </c>
      <c r="M31" s="10">
        <f>IF(ISERROR(HLOOKUP(CFs!$A31,Input!$C$119:$L$120,2,FALSE)),0,HLOOKUP(CFs!$A31,Input!$C$119:$L$120,2,FALSE))</f>
        <v>0</v>
      </c>
      <c r="N31" s="10">
        <f>IF(ISERROR(HLOOKUP(CFs!$A31,Input!$C$123:$L$124,2,FALSE)),0,HLOOKUP(CFs!$A31,Input!$C$123:$L$124,2,FALSE))</f>
        <v>0</v>
      </c>
      <c r="O31" s="10">
        <f>IF(ISERROR(HLOOKUP(CFs!$A31,Input!$C$125:$L$126,2,FALSE)),0,HLOOKUP(CFs!$A31,Input!$C$125:$L$126,2,FALSE))</f>
        <v>0</v>
      </c>
      <c r="P31" s="10">
        <f>IF(ISERROR(HLOOKUP(CFs!$A31,Input!$C$129:$L$130,2,FALSE)),0,HLOOKUP(CFs!$A31,Input!$C$129:$L$130,2,FALSE))</f>
        <v>0</v>
      </c>
      <c r="Q31" s="10">
        <f>IF(ISERROR(HLOOKUP(CFs!$A31,Input!$C$131:$L$132,2,FALSE)),0,HLOOKUP(CFs!$A31,Input!$C$131:$L$132,2,FALSE))</f>
        <v>0</v>
      </c>
      <c r="R31" s="10">
        <f>IF(ISERROR(HLOOKUP(CFs!$A31,Input!$C$135:$L$136,2,FALSE)),0,HLOOKUP(CFs!$A31,Input!$C$135:$L$136,2,FALSE))</f>
        <v>0</v>
      </c>
      <c r="S31" s="10">
        <f>IF(ISERROR(HLOOKUP(CFs!$A31,Input!$C$137:$L$138,2,FALSE)),0,HLOOKUP(CFs!$A31,Input!$C$137:$L$138,2,FALSE))</f>
        <v>0</v>
      </c>
      <c r="T31" s="10">
        <f>IF(ISERROR(HLOOKUP(CFs!$A31,Input!$C$139:$L$140,2,FALSE)),0,HLOOKUP(CFs!$A31,Input!$C$139:$L$140,2,FALSE))</f>
        <v>0</v>
      </c>
      <c r="U31" s="10">
        <f>IF(ISERROR(HLOOKUP(CFs!$A31,Input!$C$141:$L$142,2,FALSE)),0,HLOOKUP(CFs!$A31,Input!$C$141:$L$142,2,FALSE))</f>
        <v>0</v>
      </c>
      <c r="V31" s="10">
        <f>IF(ISERROR(HLOOKUP(CFs!$A31,Input!$C$143:$L$144,2,FALSE)),0,HLOOKUP(CFs!$A31,Input!$C$143:$L$144,2,FALSE))</f>
        <v>0</v>
      </c>
      <c r="W31" s="10">
        <f>IF(ISERROR(HLOOKUP(CFs!$A31,Input!$C$145:$L$146,2,FALSE)),0,HLOOKUP(CFs!$A31,Input!$C$145:$L$146,2,FALSE))</f>
        <v>0</v>
      </c>
      <c r="X31" s="10">
        <f>IF(ISERROR(HLOOKUP(CFs!$A31,Input!$C$147:$L$148,2,FALSE)),0,HLOOKUP(CFs!$A31,Input!$C$147:$L$148,2,FALSE))</f>
        <v>0</v>
      </c>
      <c r="Y31" s="13">
        <f t="shared" si="2"/>
        <v>0</v>
      </c>
      <c r="Z31" s="10">
        <f>IF(ISERROR(HLOOKUP(CFs!$A31,Input!$C$152:$L$153,2,FALSE)),0,HLOOKUP(CFs!$A31,Input!$C$152:$L$153,2,FALSE))</f>
        <v>0</v>
      </c>
      <c r="AA31" s="10">
        <f>IF(ISERROR(HLOOKUP(CFs!$A31,Input!$C$149:$L$150,2,FALSE)),0,HLOOKUP(CFs!$A31,Input!$C$149:$L$150,2,FALSE))</f>
        <v>0</v>
      </c>
      <c r="AB31" s="10">
        <f>IF(ISERROR(HLOOKUP(CFs!$A31,Input!$C$151:$L$154,2,FALSE)),0,HLOOKUP(CFs!$A31,Input!$C$151:$L$154,2,FALSE))</f>
        <v>0</v>
      </c>
      <c r="AC31">
        <f t="shared" si="1"/>
        <v>0</v>
      </c>
      <c r="AD31" s="1" cm="1">
        <f t="array" ref="AD31">FirmaCashflow(Input!$C$165,Input!$C$166,Input!$C$163,Input!$D$163,CFs!A31)</f>
        <v>15833.333333333332</v>
      </c>
      <c r="AE31" s="2">
        <f>D31+G31+J31+Y31+AC31+AD31</f>
        <v>1400900.9083333325</v>
      </c>
      <c r="AF31" s="2">
        <f t="shared" si="3"/>
        <v>-20426169.745833356</v>
      </c>
    </row>
    <row r="32" spans="1:32" x14ac:dyDescent="0.25">
      <c r="A32">
        <v>30</v>
      </c>
      <c r="B32" s="1">
        <f>Input!$E$78/12</f>
        <v>3749287.4999999986</v>
      </c>
      <c r="C32" s="1">
        <f>Input!$E$79/12</f>
        <v>258879.37499999997</v>
      </c>
      <c r="D32" s="2">
        <f>SUM(B32:C32)</f>
        <v>4008166.8749999986</v>
      </c>
      <c r="E32" s="1">
        <f>Input!$E$82/12</f>
        <v>-1862389.2437499997</v>
      </c>
      <c r="F32" s="1">
        <f>Input!$E$83/12</f>
        <v>-129439.68749999999</v>
      </c>
      <c r="G32" s="2">
        <f>SUM(E32:F32)</f>
        <v>-1991828.9312499997</v>
      </c>
      <c r="H32" s="1">
        <f>Input!$E$110/12</f>
        <v>-433896.42916666652</v>
      </c>
      <c r="I32" s="1">
        <f>Input!$E$111/12</f>
        <v>-197373.9395833333</v>
      </c>
      <c r="J32" s="10">
        <f t="shared" si="0"/>
        <v>-631270.36874999979</v>
      </c>
      <c r="K32" s="10">
        <f>IF(ISERROR(HLOOKUP(CFs!A32,Input!$C$115:$L$117,2,FALSE)),0,HLOOKUP(CFs!A32,Input!$C$115:$L$117,2,FALSE))</f>
        <v>0</v>
      </c>
      <c r="L32" s="10">
        <f>IF(ISERROR(HLOOKUP(CFs!A32,Input!$C$115:$L$117,3,FALSE)),0,HLOOKUP(CFs!A32,Input!$C$115:$L$117,3,FALSE))</f>
        <v>0</v>
      </c>
      <c r="M32" s="10">
        <f>IF(ISERROR(HLOOKUP(CFs!$A32,Input!$C$119:$L$120,2,FALSE)),0,HLOOKUP(CFs!$A32,Input!$C$119:$L$120,2,FALSE))</f>
        <v>-600000</v>
      </c>
      <c r="N32" s="10">
        <f>IF(ISERROR(HLOOKUP(CFs!$A32,Input!$C$123:$L$124,2,FALSE)),0,HLOOKUP(CFs!$A32,Input!$C$123:$L$124,2,FALSE))</f>
        <v>0</v>
      </c>
      <c r="O32" s="10">
        <f>IF(ISERROR(HLOOKUP(CFs!$A32,Input!$C$125:$L$126,2,FALSE)),0,HLOOKUP(CFs!$A32,Input!$C$125:$L$126,2,FALSE))</f>
        <v>0</v>
      </c>
      <c r="P32" s="10">
        <f>IF(ISERROR(HLOOKUP(CFs!$A32,Input!$C$129:$L$130,2,FALSE)),0,HLOOKUP(CFs!$A32,Input!$C$129:$L$130,2,FALSE))</f>
        <v>0</v>
      </c>
      <c r="Q32" s="10">
        <f>IF(ISERROR(HLOOKUP(CFs!$A32,Input!$C$131:$L$132,2,FALSE)),0,HLOOKUP(CFs!$A32,Input!$C$131:$L$132,2,FALSE))</f>
        <v>0</v>
      </c>
      <c r="R32" s="10">
        <f>IF(ISERROR(HLOOKUP(CFs!$A32,Input!$C$135:$L$136,2,FALSE)),0,HLOOKUP(CFs!$A32,Input!$C$135:$L$136,2,FALSE))</f>
        <v>0</v>
      </c>
      <c r="S32" s="10">
        <f>IF(ISERROR(HLOOKUP(CFs!$A32,Input!$C$137:$L$138,2,FALSE)),0,HLOOKUP(CFs!$A32,Input!$C$137:$L$138,2,FALSE))</f>
        <v>0</v>
      </c>
      <c r="T32" s="10">
        <f>IF(ISERROR(HLOOKUP(CFs!$A32,Input!$C$139:$L$140,2,FALSE)),0,HLOOKUP(CFs!$A32,Input!$C$139:$L$140,2,FALSE))</f>
        <v>0</v>
      </c>
      <c r="U32" s="10">
        <f>IF(ISERROR(HLOOKUP(CFs!$A32,Input!$C$141:$L$142,2,FALSE)),0,HLOOKUP(CFs!$A32,Input!$C$141:$L$142,2,FALSE))</f>
        <v>0</v>
      </c>
      <c r="V32" s="10">
        <f>IF(ISERROR(HLOOKUP(CFs!$A32,Input!$C$143:$L$144,2,FALSE)),0,HLOOKUP(CFs!$A32,Input!$C$143:$L$144,2,FALSE))</f>
        <v>0</v>
      </c>
      <c r="W32" s="10">
        <f>IF(ISERROR(HLOOKUP(CFs!$A32,Input!$C$145:$L$146,2,FALSE)),0,HLOOKUP(CFs!$A32,Input!$C$145:$L$146,2,FALSE))</f>
        <v>0</v>
      </c>
      <c r="X32" s="10">
        <f>IF(ISERROR(HLOOKUP(CFs!$A32,Input!$C$147:$L$148,2,FALSE)),0,HLOOKUP(CFs!$A32,Input!$C$147:$L$148,2,FALSE))</f>
        <v>0</v>
      </c>
      <c r="Y32" s="13">
        <f t="shared" si="2"/>
        <v>-600000</v>
      </c>
      <c r="Z32" s="10">
        <f>IF(ISERROR(HLOOKUP(CFs!$A32,Input!$C$152:$L$153,2,FALSE)),0,HLOOKUP(CFs!$A32,Input!$C$152:$L$153,2,FALSE))</f>
        <v>0</v>
      </c>
      <c r="AA32" s="10">
        <f>IF(ISERROR(HLOOKUP(CFs!$A32,Input!$C$149:$L$150,2,FALSE)),0,HLOOKUP(CFs!$A32,Input!$C$149:$L$150,2,FALSE))</f>
        <v>0</v>
      </c>
      <c r="AB32" s="10">
        <f>IF(ISERROR(HLOOKUP(CFs!$A32,Input!$C$151:$L$154,2,FALSE)),0,HLOOKUP(CFs!$A32,Input!$C$151:$L$154,2,FALSE))</f>
        <v>0</v>
      </c>
      <c r="AC32">
        <f t="shared" si="1"/>
        <v>0</v>
      </c>
      <c r="AD32" s="1" cm="1">
        <f t="array" ref="AD32">FirmaCashflow(Input!$C$165,Input!$C$166,Input!$C$163,Input!$D$163,CFs!A32)</f>
        <v>15833.333333333332</v>
      </c>
      <c r="AE32" s="2">
        <f>D32+G32+J32+Y32+AC32+AD32</f>
        <v>800900.90833333263</v>
      </c>
      <c r="AF32" s="2">
        <f t="shared" si="3"/>
        <v>-19625268.837500025</v>
      </c>
    </row>
    <row r="33" spans="1:32" x14ac:dyDescent="0.25">
      <c r="A33">
        <v>31</v>
      </c>
      <c r="B33" s="1">
        <f>Input!$E$78/12</f>
        <v>3749287.4999999986</v>
      </c>
      <c r="C33" s="1">
        <f>Input!$E$79/12</f>
        <v>258879.37499999997</v>
      </c>
      <c r="D33" s="2">
        <f>SUM(B33:C33)</f>
        <v>4008166.8749999986</v>
      </c>
      <c r="E33" s="1">
        <f>Input!$E$82/12</f>
        <v>-1862389.2437499997</v>
      </c>
      <c r="F33" s="1">
        <f>Input!$E$83/12</f>
        <v>-129439.68749999999</v>
      </c>
      <c r="G33" s="2">
        <f>SUM(E33:F33)</f>
        <v>-1991828.9312499997</v>
      </c>
      <c r="H33" s="1">
        <f>Input!$E$110/12</f>
        <v>-433896.42916666652</v>
      </c>
      <c r="I33" s="1">
        <f>Input!$E$111/12</f>
        <v>-197373.9395833333</v>
      </c>
      <c r="J33" s="10">
        <f t="shared" si="0"/>
        <v>-631270.36874999979</v>
      </c>
      <c r="K33" s="10">
        <f>IF(ISERROR(HLOOKUP(CFs!A33,Input!$C$115:$L$117,2,FALSE)),0,HLOOKUP(CFs!A33,Input!$C$115:$L$117,2,FALSE))</f>
        <v>0</v>
      </c>
      <c r="L33" s="10">
        <f>IF(ISERROR(HLOOKUP(CFs!A33,Input!$C$115:$L$117,3,FALSE)),0,HLOOKUP(CFs!A33,Input!$C$115:$L$117,3,FALSE))</f>
        <v>0</v>
      </c>
      <c r="M33" s="10">
        <f>IF(ISERROR(HLOOKUP(CFs!$A33,Input!$C$119:$L$120,2,FALSE)),0,HLOOKUP(CFs!$A33,Input!$C$119:$L$120,2,FALSE))</f>
        <v>0</v>
      </c>
      <c r="N33" s="10">
        <f>IF(ISERROR(HLOOKUP(CFs!$A33,Input!$C$123:$L$124,2,FALSE)),0,HLOOKUP(CFs!$A33,Input!$C$123:$L$124,2,FALSE))</f>
        <v>0</v>
      </c>
      <c r="O33" s="10">
        <f>IF(ISERROR(HLOOKUP(CFs!$A33,Input!$C$125:$L$126,2,FALSE)),0,HLOOKUP(CFs!$A33,Input!$C$125:$L$126,2,FALSE))</f>
        <v>0</v>
      </c>
      <c r="P33" s="10">
        <f>IF(ISERROR(HLOOKUP(CFs!$A33,Input!$C$129:$L$130,2,FALSE)),0,HLOOKUP(CFs!$A33,Input!$C$129:$L$130,2,FALSE))</f>
        <v>0</v>
      </c>
      <c r="Q33" s="10">
        <f>IF(ISERROR(HLOOKUP(CFs!$A33,Input!$C$131:$L$132,2,FALSE)),0,HLOOKUP(CFs!$A33,Input!$C$131:$L$132,2,FALSE))</f>
        <v>0</v>
      </c>
      <c r="R33" s="10">
        <f>IF(ISERROR(HLOOKUP(CFs!$A33,Input!$C$135:$L$136,2,FALSE)),0,HLOOKUP(CFs!$A33,Input!$C$135:$L$136,2,FALSE))</f>
        <v>0</v>
      </c>
      <c r="S33" s="10">
        <f>IF(ISERROR(HLOOKUP(CFs!$A33,Input!$C$137:$L$138,2,FALSE)),0,HLOOKUP(CFs!$A33,Input!$C$137:$L$138,2,FALSE))</f>
        <v>0</v>
      </c>
      <c r="T33" s="10">
        <f>IF(ISERROR(HLOOKUP(CFs!$A33,Input!$C$139:$L$140,2,FALSE)),0,HLOOKUP(CFs!$A33,Input!$C$139:$L$140,2,FALSE))</f>
        <v>0</v>
      </c>
      <c r="U33" s="10">
        <f>IF(ISERROR(HLOOKUP(CFs!$A33,Input!$C$141:$L$142,2,FALSE)),0,HLOOKUP(CFs!$A33,Input!$C$141:$L$142,2,FALSE))</f>
        <v>0</v>
      </c>
      <c r="V33" s="10">
        <f>IF(ISERROR(HLOOKUP(CFs!$A33,Input!$C$143:$L$144,2,FALSE)),0,HLOOKUP(CFs!$A33,Input!$C$143:$L$144,2,FALSE))</f>
        <v>0</v>
      </c>
      <c r="W33" s="10">
        <f>IF(ISERROR(HLOOKUP(CFs!$A33,Input!$C$145:$L$146,2,FALSE)),0,HLOOKUP(CFs!$A33,Input!$C$145:$L$146,2,FALSE))</f>
        <v>0</v>
      </c>
      <c r="X33" s="10">
        <f>IF(ISERROR(HLOOKUP(CFs!$A33,Input!$C$147:$L$148,2,FALSE)),0,HLOOKUP(CFs!$A33,Input!$C$147:$L$148,2,FALSE))</f>
        <v>0</v>
      </c>
      <c r="Y33" s="13">
        <f t="shared" si="2"/>
        <v>0</v>
      </c>
      <c r="Z33" s="10">
        <f>IF(ISERROR(HLOOKUP(CFs!$A33,Input!$C$152:$L$153,2,FALSE)),0,HLOOKUP(CFs!$A33,Input!$C$152:$L$153,2,FALSE))</f>
        <v>0</v>
      </c>
      <c r="AA33" s="10">
        <f>IF(ISERROR(HLOOKUP(CFs!$A33,Input!$C$149:$L$150,2,FALSE)),0,HLOOKUP(CFs!$A33,Input!$C$149:$L$150,2,FALSE))</f>
        <v>0</v>
      </c>
      <c r="AB33" s="10">
        <f>IF(ISERROR(HLOOKUP(CFs!$A33,Input!$C$151:$L$154,2,FALSE)),0,HLOOKUP(CFs!$A33,Input!$C$151:$L$154,2,FALSE))</f>
        <v>0</v>
      </c>
      <c r="AC33">
        <f t="shared" si="1"/>
        <v>0</v>
      </c>
      <c r="AD33" s="1" cm="1">
        <f t="array" ref="AD33">FirmaCashflow(Input!$C$165,Input!$C$166,Input!$C$163,Input!$D$163,CFs!A33)</f>
        <v>15833.333333333332</v>
      </c>
      <c r="AE33" s="2">
        <f>D33+G33+J33+Y33+AC33+AD33</f>
        <v>1400900.9083333325</v>
      </c>
      <c r="AF33" s="2">
        <f t="shared" si="3"/>
        <v>-18224367.929166693</v>
      </c>
    </row>
    <row r="34" spans="1:32" x14ac:dyDescent="0.25">
      <c r="A34">
        <v>32</v>
      </c>
      <c r="B34" s="1">
        <f>Input!$E$78/12</f>
        <v>3749287.4999999986</v>
      </c>
      <c r="C34" s="1">
        <f>Input!$E$79/12</f>
        <v>258879.37499999997</v>
      </c>
      <c r="D34" s="2">
        <f>SUM(B34:C34)</f>
        <v>4008166.8749999986</v>
      </c>
      <c r="E34" s="1">
        <f>Input!$E$82/12</f>
        <v>-1862389.2437499997</v>
      </c>
      <c r="F34" s="1">
        <f>Input!$E$83/12</f>
        <v>-129439.68749999999</v>
      </c>
      <c r="G34" s="2">
        <f>SUM(E34:F34)</f>
        <v>-1991828.9312499997</v>
      </c>
      <c r="H34" s="1">
        <f>Input!$E$110/12</f>
        <v>-433896.42916666652</v>
      </c>
      <c r="I34" s="1">
        <f>Input!$E$111/12</f>
        <v>-197373.9395833333</v>
      </c>
      <c r="J34" s="10">
        <f t="shared" si="0"/>
        <v>-631270.36874999979</v>
      </c>
      <c r="K34" s="10">
        <f>IF(ISERROR(HLOOKUP(CFs!A34,Input!$C$115:$L$117,2,FALSE)),0,HLOOKUP(CFs!A34,Input!$C$115:$L$117,2,FALSE))</f>
        <v>0</v>
      </c>
      <c r="L34" s="10">
        <f>IF(ISERROR(HLOOKUP(CFs!A34,Input!$C$115:$L$117,3,FALSE)),0,HLOOKUP(CFs!A34,Input!$C$115:$L$117,3,FALSE))</f>
        <v>0</v>
      </c>
      <c r="M34" s="10">
        <f>IF(ISERROR(HLOOKUP(CFs!$A34,Input!$C$119:$L$120,2,FALSE)),0,HLOOKUP(CFs!$A34,Input!$C$119:$L$120,2,FALSE))</f>
        <v>0</v>
      </c>
      <c r="N34" s="10">
        <f>IF(ISERROR(HLOOKUP(CFs!$A34,Input!$C$123:$L$124,2,FALSE)),0,HLOOKUP(CFs!$A34,Input!$C$123:$L$124,2,FALSE))</f>
        <v>0</v>
      </c>
      <c r="O34" s="10">
        <f>IF(ISERROR(HLOOKUP(CFs!$A34,Input!$C$125:$L$126,2,FALSE)),0,HLOOKUP(CFs!$A34,Input!$C$125:$L$126,2,FALSE))</f>
        <v>0</v>
      </c>
      <c r="P34" s="10">
        <f>IF(ISERROR(HLOOKUP(CFs!$A34,Input!$C$129:$L$130,2,FALSE)),0,HLOOKUP(CFs!$A34,Input!$C$129:$L$130,2,FALSE))</f>
        <v>0</v>
      </c>
      <c r="Q34" s="10">
        <f>IF(ISERROR(HLOOKUP(CFs!$A34,Input!$C$131:$L$132,2,FALSE)),0,HLOOKUP(CFs!$A34,Input!$C$131:$L$132,2,FALSE))</f>
        <v>0</v>
      </c>
      <c r="R34" s="10">
        <f>IF(ISERROR(HLOOKUP(CFs!$A34,Input!$C$135:$L$136,2,FALSE)),0,HLOOKUP(CFs!$A34,Input!$C$135:$L$136,2,FALSE))</f>
        <v>0</v>
      </c>
      <c r="S34" s="10">
        <f>IF(ISERROR(HLOOKUP(CFs!$A34,Input!$C$137:$L$138,2,FALSE)),0,HLOOKUP(CFs!$A34,Input!$C$137:$L$138,2,FALSE))</f>
        <v>0</v>
      </c>
      <c r="T34" s="10">
        <f>IF(ISERROR(HLOOKUP(CFs!$A34,Input!$C$139:$L$140,2,FALSE)),0,HLOOKUP(CFs!$A34,Input!$C$139:$L$140,2,FALSE))</f>
        <v>0</v>
      </c>
      <c r="U34" s="10">
        <f>IF(ISERROR(HLOOKUP(CFs!$A34,Input!$C$141:$L$142,2,FALSE)),0,HLOOKUP(CFs!$A34,Input!$C$141:$L$142,2,FALSE))</f>
        <v>0</v>
      </c>
      <c r="V34" s="10">
        <f>IF(ISERROR(HLOOKUP(CFs!$A34,Input!$C$143:$L$144,2,FALSE)),0,HLOOKUP(CFs!$A34,Input!$C$143:$L$144,2,FALSE))</f>
        <v>0</v>
      </c>
      <c r="W34" s="10">
        <f>IF(ISERROR(HLOOKUP(CFs!$A34,Input!$C$145:$L$146,2,FALSE)),0,HLOOKUP(CFs!$A34,Input!$C$145:$L$146,2,FALSE))</f>
        <v>0</v>
      </c>
      <c r="X34" s="10">
        <f>IF(ISERROR(HLOOKUP(CFs!$A34,Input!$C$147:$L$148,2,FALSE)),0,HLOOKUP(CFs!$A34,Input!$C$147:$L$148,2,FALSE))</f>
        <v>0</v>
      </c>
      <c r="Y34" s="13">
        <f t="shared" si="2"/>
        <v>0</v>
      </c>
      <c r="Z34" s="10">
        <f>IF(ISERROR(HLOOKUP(CFs!$A34,Input!$C$152:$L$153,2,FALSE)),0,HLOOKUP(CFs!$A34,Input!$C$152:$L$153,2,FALSE))</f>
        <v>0</v>
      </c>
      <c r="AA34" s="10">
        <f>IF(ISERROR(HLOOKUP(CFs!$A34,Input!$C$149:$L$150,2,FALSE)),0,HLOOKUP(CFs!$A34,Input!$C$149:$L$150,2,FALSE))</f>
        <v>0</v>
      </c>
      <c r="AB34" s="10">
        <f>IF(ISERROR(HLOOKUP(CFs!$A34,Input!$C$151:$L$154,2,FALSE)),0,HLOOKUP(CFs!$A34,Input!$C$151:$L$154,2,FALSE))</f>
        <v>0</v>
      </c>
      <c r="AC34">
        <f t="shared" si="1"/>
        <v>0</v>
      </c>
      <c r="AD34" s="1" cm="1">
        <f t="array" ref="AD34">FirmaCashflow(Input!$C$165,Input!$C$166,Input!$C$163,Input!$D$163,CFs!A34)</f>
        <v>15833.333333333332</v>
      </c>
      <c r="AE34" s="2">
        <f>D34+G34+J34+Y34+AC34+AD34</f>
        <v>1400900.9083333325</v>
      </c>
      <c r="AF34" s="2">
        <f t="shared" si="3"/>
        <v>-16823467.020833362</v>
      </c>
    </row>
    <row r="35" spans="1:32" x14ac:dyDescent="0.25">
      <c r="A35">
        <v>33</v>
      </c>
      <c r="B35" s="1">
        <f>Input!$E$78/12</f>
        <v>3749287.4999999986</v>
      </c>
      <c r="C35" s="1">
        <f>Input!$E$79/12</f>
        <v>258879.37499999997</v>
      </c>
      <c r="D35" s="2">
        <f>SUM(B35:C35)</f>
        <v>4008166.8749999986</v>
      </c>
      <c r="E35" s="1">
        <f>Input!$E$82/12</f>
        <v>-1862389.2437499997</v>
      </c>
      <c r="F35" s="1">
        <f>Input!$E$83/12</f>
        <v>-129439.68749999999</v>
      </c>
      <c r="G35" s="2">
        <f>SUM(E35:F35)</f>
        <v>-1991828.9312499997</v>
      </c>
      <c r="H35" s="1">
        <f>Input!$E$110/12</f>
        <v>-433896.42916666652</v>
      </c>
      <c r="I35" s="1">
        <f>Input!$E$111/12</f>
        <v>-197373.9395833333</v>
      </c>
      <c r="J35" s="10">
        <f t="shared" si="0"/>
        <v>-631270.36874999979</v>
      </c>
      <c r="K35" s="10">
        <f>IF(ISERROR(HLOOKUP(CFs!A35,Input!$C$115:$L$117,2,FALSE)),0,HLOOKUP(CFs!A35,Input!$C$115:$L$117,2,FALSE))</f>
        <v>0</v>
      </c>
      <c r="L35" s="10">
        <f>IF(ISERROR(HLOOKUP(CFs!A35,Input!$C$115:$L$117,3,FALSE)),0,HLOOKUP(CFs!A35,Input!$C$115:$L$117,3,FALSE))</f>
        <v>0</v>
      </c>
      <c r="M35" s="10">
        <f>IF(ISERROR(HLOOKUP(CFs!$A35,Input!$C$119:$L$120,2,FALSE)),0,HLOOKUP(CFs!$A35,Input!$C$119:$L$120,2,FALSE))</f>
        <v>0</v>
      </c>
      <c r="N35" s="10">
        <f>IF(ISERROR(HLOOKUP(CFs!$A35,Input!$C$123:$L$124,2,FALSE)),0,HLOOKUP(CFs!$A35,Input!$C$123:$L$124,2,FALSE))</f>
        <v>0</v>
      </c>
      <c r="O35" s="10">
        <f>IF(ISERROR(HLOOKUP(CFs!$A35,Input!$C$125:$L$126,2,FALSE)),0,HLOOKUP(CFs!$A35,Input!$C$125:$L$126,2,FALSE))</f>
        <v>0</v>
      </c>
      <c r="P35" s="10">
        <f>IF(ISERROR(HLOOKUP(CFs!$A35,Input!$C$129:$L$130,2,FALSE)),0,HLOOKUP(CFs!$A35,Input!$C$129:$L$130,2,FALSE))</f>
        <v>0</v>
      </c>
      <c r="Q35" s="10">
        <f>IF(ISERROR(HLOOKUP(CFs!$A35,Input!$C$131:$L$132,2,FALSE)),0,HLOOKUP(CFs!$A35,Input!$C$131:$L$132,2,FALSE))</f>
        <v>0</v>
      </c>
      <c r="R35" s="10">
        <f>IF(ISERROR(HLOOKUP(CFs!$A35,Input!$C$135:$L$136,2,FALSE)),0,HLOOKUP(CFs!$A35,Input!$C$135:$L$136,2,FALSE))</f>
        <v>0</v>
      </c>
      <c r="S35" s="10">
        <f>IF(ISERROR(HLOOKUP(CFs!$A35,Input!$C$137:$L$138,2,FALSE)),0,HLOOKUP(CFs!$A35,Input!$C$137:$L$138,2,FALSE))</f>
        <v>0</v>
      </c>
      <c r="T35" s="10">
        <f>IF(ISERROR(HLOOKUP(CFs!$A35,Input!$C$139:$L$140,2,FALSE)),0,HLOOKUP(CFs!$A35,Input!$C$139:$L$140,2,FALSE))</f>
        <v>0</v>
      </c>
      <c r="U35" s="10">
        <f>IF(ISERROR(HLOOKUP(CFs!$A35,Input!$C$141:$L$142,2,FALSE)),0,HLOOKUP(CFs!$A35,Input!$C$141:$L$142,2,FALSE))</f>
        <v>0</v>
      </c>
      <c r="V35" s="10">
        <f>IF(ISERROR(HLOOKUP(CFs!$A35,Input!$C$143:$L$144,2,FALSE)),0,HLOOKUP(CFs!$A35,Input!$C$143:$L$144,2,FALSE))</f>
        <v>0</v>
      </c>
      <c r="W35" s="10">
        <f>IF(ISERROR(HLOOKUP(CFs!$A35,Input!$C$145:$L$146,2,FALSE)),0,HLOOKUP(CFs!$A35,Input!$C$145:$L$146,2,FALSE))</f>
        <v>0</v>
      </c>
      <c r="X35" s="10">
        <f>IF(ISERROR(HLOOKUP(CFs!$A35,Input!$C$147:$L$148,2,FALSE)),0,HLOOKUP(CFs!$A35,Input!$C$147:$L$148,2,FALSE))</f>
        <v>0</v>
      </c>
      <c r="Y35" s="13">
        <f t="shared" si="2"/>
        <v>0</v>
      </c>
      <c r="Z35" s="10">
        <f>IF(ISERROR(HLOOKUP(CFs!$A35,Input!$C$152:$L$153,2,FALSE)),0,HLOOKUP(CFs!$A35,Input!$C$152:$L$153,2,FALSE))</f>
        <v>0</v>
      </c>
      <c r="AA35" s="10">
        <f>IF(ISERROR(HLOOKUP(CFs!$A35,Input!$C$149:$L$150,2,FALSE)),0,HLOOKUP(CFs!$A35,Input!$C$149:$L$150,2,FALSE))</f>
        <v>0</v>
      </c>
      <c r="AB35" s="10">
        <f>IF(ISERROR(HLOOKUP(CFs!$A35,Input!$C$151:$L$154,2,FALSE)),0,HLOOKUP(CFs!$A35,Input!$C$151:$L$154,2,FALSE))</f>
        <v>0</v>
      </c>
      <c r="AC35">
        <f t="shared" si="1"/>
        <v>0</v>
      </c>
      <c r="AD35" s="1" cm="1">
        <f t="array" ref="AD35">FirmaCashflow(Input!$C$165,Input!$C$166,Input!$C$163,Input!$D$163,CFs!A35)</f>
        <v>-87083.333333333328</v>
      </c>
      <c r="AE35" s="2">
        <f>D35+G35+J35+Y35+AC35+AD35</f>
        <v>1297984.241666666</v>
      </c>
      <c r="AF35" s="2">
        <f t="shared" si="3"/>
        <v>-15525482.779166697</v>
      </c>
    </row>
    <row r="36" spans="1:32" x14ac:dyDescent="0.25">
      <c r="A36">
        <v>34</v>
      </c>
      <c r="B36" s="1">
        <f>Input!$E$78/12</f>
        <v>3749287.4999999986</v>
      </c>
      <c r="C36" s="1">
        <f>Input!$E$79/12</f>
        <v>258879.37499999997</v>
      </c>
      <c r="D36" s="2">
        <f>SUM(B36:C36)</f>
        <v>4008166.8749999986</v>
      </c>
      <c r="E36" s="1">
        <f>Input!$E$82/12</f>
        <v>-1862389.2437499997</v>
      </c>
      <c r="F36" s="1">
        <f>Input!$E$83/12</f>
        <v>-129439.68749999999</v>
      </c>
      <c r="G36" s="2">
        <f>SUM(E36:F36)</f>
        <v>-1991828.9312499997</v>
      </c>
      <c r="H36" s="1">
        <f>Input!$E$110/12</f>
        <v>-433896.42916666652</v>
      </c>
      <c r="I36" s="1">
        <f>Input!$E$111/12</f>
        <v>-197373.9395833333</v>
      </c>
      <c r="J36" s="10">
        <f t="shared" si="0"/>
        <v>-631270.36874999979</v>
      </c>
      <c r="K36" s="10">
        <f>IF(ISERROR(HLOOKUP(CFs!A36,Input!$C$115:$L$117,2,FALSE)),0,HLOOKUP(CFs!A36,Input!$C$115:$L$117,2,FALSE))</f>
        <v>0</v>
      </c>
      <c r="L36" s="10">
        <f>IF(ISERROR(HLOOKUP(CFs!A36,Input!$C$115:$L$117,3,FALSE)),0,HLOOKUP(CFs!A36,Input!$C$115:$L$117,3,FALSE))</f>
        <v>0</v>
      </c>
      <c r="M36" s="10">
        <f>IF(ISERROR(HLOOKUP(CFs!$A36,Input!$C$119:$L$120,2,FALSE)),0,HLOOKUP(CFs!$A36,Input!$C$119:$L$120,2,FALSE))</f>
        <v>0</v>
      </c>
      <c r="N36" s="10">
        <f>IF(ISERROR(HLOOKUP(CFs!$A36,Input!$C$123:$L$124,2,FALSE)),0,HLOOKUP(CFs!$A36,Input!$C$123:$L$124,2,FALSE))</f>
        <v>0</v>
      </c>
      <c r="O36" s="10">
        <f>IF(ISERROR(HLOOKUP(CFs!$A36,Input!$C$125:$L$126,2,FALSE)),0,HLOOKUP(CFs!$A36,Input!$C$125:$L$126,2,FALSE))</f>
        <v>0</v>
      </c>
      <c r="P36" s="10">
        <f>IF(ISERROR(HLOOKUP(CFs!$A36,Input!$C$129:$L$130,2,FALSE)),0,HLOOKUP(CFs!$A36,Input!$C$129:$L$130,2,FALSE))</f>
        <v>0</v>
      </c>
      <c r="Q36" s="10">
        <f>IF(ISERROR(HLOOKUP(CFs!$A36,Input!$C$131:$L$132,2,FALSE)),0,HLOOKUP(CFs!$A36,Input!$C$131:$L$132,2,FALSE))</f>
        <v>0</v>
      </c>
      <c r="R36" s="10">
        <f>IF(ISERROR(HLOOKUP(CFs!$A36,Input!$C$135:$L$136,2,FALSE)),0,HLOOKUP(CFs!$A36,Input!$C$135:$L$136,2,FALSE))</f>
        <v>0</v>
      </c>
      <c r="S36" s="10">
        <f>IF(ISERROR(HLOOKUP(CFs!$A36,Input!$C$137:$L$138,2,FALSE)),0,HLOOKUP(CFs!$A36,Input!$C$137:$L$138,2,FALSE))</f>
        <v>0</v>
      </c>
      <c r="T36" s="10">
        <f>IF(ISERROR(HLOOKUP(CFs!$A36,Input!$C$139:$L$140,2,FALSE)),0,HLOOKUP(CFs!$A36,Input!$C$139:$L$140,2,FALSE))</f>
        <v>0</v>
      </c>
      <c r="U36" s="10">
        <f>IF(ISERROR(HLOOKUP(CFs!$A36,Input!$C$141:$L$142,2,FALSE)),0,HLOOKUP(CFs!$A36,Input!$C$141:$L$142,2,FALSE))</f>
        <v>0</v>
      </c>
      <c r="V36" s="10">
        <f>IF(ISERROR(HLOOKUP(CFs!$A36,Input!$C$143:$L$144,2,FALSE)),0,HLOOKUP(CFs!$A36,Input!$C$143:$L$144,2,FALSE))</f>
        <v>0</v>
      </c>
      <c r="W36" s="10">
        <f>IF(ISERROR(HLOOKUP(CFs!$A36,Input!$C$145:$L$146,2,FALSE)),0,HLOOKUP(CFs!$A36,Input!$C$145:$L$146,2,FALSE))</f>
        <v>0</v>
      </c>
      <c r="X36" s="10">
        <f>IF(ISERROR(HLOOKUP(CFs!$A36,Input!$C$147:$L$148,2,FALSE)),0,HLOOKUP(CFs!$A36,Input!$C$147:$L$148,2,FALSE))</f>
        <v>0</v>
      </c>
      <c r="Y36" s="13">
        <f t="shared" si="2"/>
        <v>0</v>
      </c>
      <c r="Z36" s="10">
        <f>IF(ISERROR(HLOOKUP(CFs!$A36,Input!$C$152:$L$153,2,FALSE)),0,HLOOKUP(CFs!$A36,Input!$C$152:$L$153,2,FALSE))</f>
        <v>0</v>
      </c>
      <c r="AA36" s="10">
        <f>IF(ISERROR(HLOOKUP(CFs!$A36,Input!$C$149:$L$150,2,FALSE)),0,HLOOKUP(CFs!$A36,Input!$C$149:$L$150,2,FALSE))</f>
        <v>0</v>
      </c>
      <c r="AB36" s="10">
        <f>IF(ISERROR(HLOOKUP(CFs!$A36,Input!$C$151:$L$154,2,FALSE)),0,HLOOKUP(CFs!$A36,Input!$C$151:$L$154,2,FALSE))</f>
        <v>0</v>
      </c>
      <c r="AC36">
        <f t="shared" si="1"/>
        <v>0</v>
      </c>
      <c r="AD36" s="1" cm="1">
        <f t="array" ref="AD36">FirmaCashflow(Input!$C$165,Input!$C$166,Input!$C$163,Input!$D$163,CFs!A36)</f>
        <v>-87083.333333333328</v>
      </c>
      <c r="AE36" s="2">
        <f>D36+G36+J36+Y36+AC36+AD36</f>
        <v>1297984.241666666</v>
      </c>
      <c r="AF36" s="2">
        <f t="shared" si="3"/>
        <v>-14227498.537500031</v>
      </c>
    </row>
    <row r="37" spans="1:32" x14ac:dyDescent="0.25">
      <c r="A37">
        <v>35</v>
      </c>
      <c r="B37" s="1">
        <f>Input!$E$78/12</f>
        <v>3749287.4999999986</v>
      </c>
      <c r="C37" s="1">
        <f>Input!$E$79/12</f>
        <v>258879.37499999997</v>
      </c>
      <c r="D37" s="2">
        <f>SUM(B37:C37)</f>
        <v>4008166.8749999986</v>
      </c>
      <c r="E37" s="1">
        <f>Input!$E$82/12</f>
        <v>-1862389.2437499997</v>
      </c>
      <c r="F37" s="1">
        <f>Input!$E$83/12</f>
        <v>-129439.68749999999</v>
      </c>
      <c r="G37" s="2">
        <f>SUM(E37:F37)</f>
        <v>-1991828.9312499997</v>
      </c>
      <c r="H37" s="1">
        <f>Input!$E$110/12</f>
        <v>-433896.42916666652</v>
      </c>
      <c r="I37" s="1">
        <f>Input!$E$111/12</f>
        <v>-197373.9395833333</v>
      </c>
      <c r="J37" s="10">
        <f t="shared" si="0"/>
        <v>-631270.36874999979</v>
      </c>
      <c r="K37" s="10">
        <f>IF(ISERROR(HLOOKUP(CFs!A37,Input!$C$115:$L$117,2,FALSE)),0,HLOOKUP(CFs!A37,Input!$C$115:$L$117,2,FALSE))</f>
        <v>0</v>
      </c>
      <c r="L37" s="10">
        <f>IF(ISERROR(HLOOKUP(CFs!A37,Input!$C$115:$L$117,3,FALSE)),0,HLOOKUP(CFs!A37,Input!$C$115:$L$117,3,FALSE))</f>
        <v>0</v>
      </c>
      <c r="M37" s="10">
        <f>IF(ISERROR(HLOOKUP(CFs!$A37,Input!$C$119:$L$120,2,FALSE)),0,HLOOKUP(CFs!$A37,Input!$C$119:$L$120,2,FALSE))</f>
        <v>0</v>
      </c>
      <c r="N37" s="10">
        <f>IF(ISERROR(HLOOKUP(CFs!$A37,Input!$C$123:$L$124,2,FALSE)),0,HLOOKUP(CFs!$A37,Input!$C$123:$L$124,2,FALSE))</f>
        <v>0</v>
      </c>
      <c r="O37" s="10">
        <f>IF(ISERROR(HLOOKUP(CFs!$A37,Input!$C$125:$L$126,2,FALSE)),0,HLOOKUP(CFs!$A37,Input!$C$125:$L$126,2,FALSE))</f>
        <v>0</v>
      </c>
      <c r="P37" s="10">
        <f>IF(ISERROR(HLOOKUP(CFs!$A37,Input!$C$129:$L$130,2,FALSE)),0,HLOOKUP(CFs!$A37,Input!$C$129:$L$130,2,FALSE))</f>
        <v>0</v>
      </c>
      <c r="Q37" s="10">
        <f>IF(ISERROR(HLOOKUP(CFs!$A37,Input!$C$131:$L$132,2,FALSE)),0,HLOOKUP(CFs!$A37,Input!$C$131:$L$132,2,FALSE))</f>
        <v>0</v>
      </c>
      <c r="R37" s="10">
        <f>IF(ISERROR(HLOOKUP(CFs!$A37,Input!$C$135:$L$136,2,FALSE)),0,HLOOKUP(CFs!$A37,Input!$C$135:$L$136,2,FALSE))</f>
        <v>0</v>
      </c>
      <c r="S37" s="10">
        <f>IF(ISERROR(HLOOKUP(CFs!$A37,Input!$C$137:$L$138,2,FALSE)),0,HLOOKUP(CFs!$A37,Input!$C$137:$L$138,2,FALSE))</f>
        <v>0</v>
      </c>
      <c r="T37" s="10">
        <f>IF(ISERROR(HLOOKUP(CFs!$A37,Input!$C$139:$L$140,2,FALSE)),0,HLOOKUP(CFs!$A37,Input!$C$139:$L$140,2,FALSE))</f>
        <v>0</v>
      </c>
      <c r="U37" s="10">
        <f>IF(ISERROR(HLOOKUP(CFs!$A37,Input!$C$141:$L$142,2,FALSE)),0,HLOOKUP(CFs!$A37,Input!$C$141:$L$142,2,FALSE))</f>
        <v>0</v>
      </c>
      <c r="V37" s="10">
        <f>IF(ISERROR(HLOOKUP(CFs!$A37,Input!$C$143:$L$144,2,FALSE)),0,HLOOKUP(CFs!$A37,Input!$C$143:$L$144,2,FALSE))</f>
        <v>0</v>
      </c>
      <c r="W37" s="10">
        <f>IF(ISERROR(HLOOKUP(CFs!$A37,Input!$C$145:$L$146,2,FALSE)),0,HLOOKUP(CFs!$A37,Input!$C$145:$L$146,2,FALSE))</f>
        <v>0</v>
      </c>
      <c r="X37" s="10">
        <f>IF(ISERROR(HLOOKUP(CFs!$A37,Input!$C$147:$L$148,2,FALSE)),0,HLOOKUP(CFs!$A37,Input!$C$147:$L$148,2,FALSE))</f>
        <v>0</v>
      </c>
      <c r="Y37" s="13">
        <f t="shared" si="2"/>
        <v>0</v>
      </c>
      <c r="Z37" s="10">
        <f>IF(ISERROR(HLOOKUP(CFs!$A37,Input!$C$152:$L$153,2,FALSE)),0,HLOOKUP(CFs!$A37,Input!$C$152:$L$153,2,FALSE))</f>
        <v>0</v>
      </c>
      <c r="AA37" s="10">
        <f>IF(ISERROR(HLOOKUP(CFs!$A37,Input!$C$149:$L$150,2,FALSE)),0,HLOOKUP(CFs!$A37,Input!$C$149:$L$150,2,FALSE))</f>
        <v>0</v>
      </c>
      <c r="AB37" s="10">
        <f>IF(ISERROR(HLOOKUP(CFs!$A37,Input!$C$151:$L$154,2,FALSE)),0,HLOOKUP(CFs!$A37,Input!$C$151:$L$154,2,FALSE))</f>
        <v>0</v>
      </c>
      <c r="AC37">
        <f t="shared" si="1"/>
        <v>0</v>
      </c>
      <c r="AD37" s="1" cm="1">
        <f t="array" ref="AD37">FirmaCashflow(Input!$C$165,Input!$C$166,Input!$C$163,Input!$D$163,CFs!A37)</f>
        <v>-87083.333333333328</v>
      </c>
      <c r="AE37" s="2">
        <f>D37+G37+J37+Y37+AC37+AD37</f>
        <v>1297984.241666666</v>
      </c>
      <c r="AF37" s="2">
        <f t="shared" si="3"/>
        <v>-12929514.295833366</v>
      </c>
    </row>
    <row r="38" spans="1:32" x14ac:dyDescent="0.25">
      <c r="A38">
        <v>36</v>
      </c>
      <c r="B38" s="1">
        <f>Input!$E$78/12</f>
        <v>3749287.4999999986</v>
      </c>
      <c r="C38" s="1">
        <f>Input!$E$79/12</f>
        <v>258879.37499999997</v>
      </c>
      <c r="D38" s="2">
        <f>SUM(B38:C38)</f>
        <v>4008166.8749999986</v>
      </c>
      <c r="E38" s="1">
        <f>Input!$E$82/12</f>
        <v>-1862389.2437499997</v>
      </c>
      <c r="F38" s="1">
        <f>Input!$E$83/12</f>
        <v>-129439.68749999999</v>
      </c>
      <c r="G38" s="2">
        <f>SUM(E38:F38)</f>
        <v>-1991828.9312499997</v>
      </c>
      <c r="H38" s="1">
        <f>Input!$E$110/12</f>
        <v>-433896.42916666652</v>
      </c>
      <c r="I38" s="1">
        <f>Input!$E$111/12</f>
        <v>-197373.9395833333</v>
      </c>
      <c r="J38" s="10">
        <f t="shared" si="0"/>
        <v>-631270.36874999979</v>
      </c>
      <c r="K38" s="10">
        <f>IF(ISERROR(HLOOKUP(CFs!A38,Input!$C$115:$L$117,2,FALSE)),0,HLOOKUP(CFs!A38,Input!$C$115:$L$117,2,FALSE))</f>
        <v>0</v>
      </c>
      <c r="L38" s="10">
        <f>IF(ISERROR(HLOOKUP(CFs!A38,Input!$C$115:$L$117,3,FALSE)),0,HLOOKUP(CFs!A38,Input!$C$115:$L$117,3,FALSE))</f>
        <v>0</v>
      </c>
      <c r="M38" s="10">
        <f>IF(ISERROR(HLOOKUP(CFs!$A38,Input!$C$119:$L$120,2,FALSE)),0,HLOOKUP(CFs!$A38,Input!$C$119:$L$120,2,FALSE))</f>
        <v>0</v>
      </c>
      <c r="N38" s="10">
        <f>IF(ISERROR(HLOOKUP(CFs!$A38,Input!$C$123:$L$124,2,FALSE)),0,HLOOKUP(CFs!$A38,Input!$C$123:$L$124,2,FALSE))</f>
        <v>0</v>
      </c>
      <c r="O38" s="10">
        <f>IF(ISERROR(HLOOKUP(CFs!$A38,Input!$C$125:$L$126,2,FALSE)),0,HLOOKUP(CFs!$A38,Input!$C$125:$L$126,2,FALSE))</f>
        <v>0</v>
      </c>
      <c r="P38" s="10">
        <f>IF(ISERROR(HLOOKUP(CFs!$A38,Input!$C$129:$L$130,2,FALSE)),0,HLOOKUP(CFs!$A38,Input!$C$129:$L$130,2,FALSE))</f>
        <v>0</v>
      </c>
      <c r="Q38" s="10">
        <f>IF(ISERROR(HLOOKUP(CFs!$A38,Input!$C$131:$L$132,2,FALSE)),0,HLOOKUP(CFs!$A38,Input!$C$131:$L$132,2,FALSE))</f>
        <v>0</v>
      </c>
      <c r="R38" s="10">
        <f>IF(ISERROR(HLOOKUP(CFs!$A38,Input!$C$135:$L$136,2,FALSE)),0,HLOOKUP(CFs!$A38,Input!$C$135:$L$136,2,FALSE))</f>
        <v>0</v>
      </c>
      <c r="S38" s="10">
        <f>IF(ISERROR(HLOOKUP(CFs!$A38,Input!$C$137:$L$138,2,FALSE)),0,HLOOKUP(CFs!$A38,Input!$C$137:$L$138,2,FALSE))</f>
        <v>0</v>
      </c>
      <c r="T38" s="10">
        <f>IF(ISERROR(HLOOKUP(CFs!$A38,Input!$C$139:$L$140,2,FALSE)),0,HLOOKUP(CFs!$A38,Input!$C$139:$L$140,2,FALSE))</f>
        <v>0</v>
      </c>
      <c r="U38" s="10">
        <f>IF(ISERROR(HLOOKUP(CFs!$A38,Input!$C$141:$L$142,2,FALSE)),0,HLOOKUP(CFs!$A38,Input!$C$141:$L$142,2,FALSE))</f>
        <v>0</v>
      </c>
      <c r="V38" s="10">
        <f>IF(ISERROR(HLOOKUP(CFs!$A38,Input!$C$143:$L$144,2,FALSE)),0,HLOOKUP(CFs!$A38,Input!$C$143:$L$144,2,FALSE))</f>
        <v>0</v>
      </c>
      <c r="W38" s="10">
        <f>IF(ISERROR(HLOOKUP(CFs!$A38,Input!$C$145:$L$146,2,FALSE)),0,HLOOKUP(CFs!$A38,Input!$C$145:$L$146,2,FALSE))</f>
        <v>0</v>
      </c>
      <c r="X38" s="10">
        <f>IF(ISERROR(HLOOKUP(CFs!$A38,Input!$C$147:$L$148,2,FALSE)),0,HLOOKUP(CFs!$A38,Input!$C$147:$L$148,2,FALSE))</f>
        <v>0</v>
      </c>
      <c r="Y38" s="13">
        <f t="shared" si="2"/>
        <v>0</v>
      </c>
      <c r="Z38" s="10">
        <f>IF(ISERROR(HLOOKUP(CFs!$A38,Input!$C$152:$L$153,2,FALSE)),0,HLOOKUP(CFs!$A38,Input!$C$152:$L$153,2,FALSE))</f>
        <v>0</v>
      </c>
      <c r="AA38" s="10">
        <f>IF(ISERROR(HLOOKUP(CFs!$A38,Input!$C$149:$L$150,2,FALSE)),0,HLOOKUP(CFs!$A38,Input!$C$149:$L$150,2,FALSE))</f>
        <v>0</v>
      </c>
      <c r="AB38" s="10">
        <f>IF(ISERROR(HLOOKUP(CFs!$A38,Input!$C$151:$L$154,2,FALSE)),0,HLOOKUP(CFs!$A38,Input!$C$151:$L$154,2,FALSE))</f>
        <v>0</v>
      </c>
      <c r="AC38">
        <f t="shared" si="1"/>
        <v>0</v>
      </c>
      <c r="AD38" s="1" cm="1">
        <f t="array" ref="AD38">FirmaCashflow(Input!$C$165,Input!$C$166,Input!$C$163,Input!$D$163,CFs!A38)</f>
        <v>-87083.333333333328</v>
      </c>
      <c r="AE38" s="2">
        <f>D38+G38+J38+Y38+AC38+AD38</f>
        <v>1297984.241666666</v>
      </c>
      <c r="AF38" s="2">
        <f t="shared" si="3"/>
        <v>-11631530.054166701</v>
      </c>
    </row>
    <row r="39" spans="1:32" x14ac:dyDescent="0.25">
      <c r="A39">
        <v>37</v>
      </c>
      <c r="B39" s="1">
        <f>Input!$F$78/12</f>
        <v>16630768.124999993</v>
      </c>
      <c r="C39" s="1">
        <f>Input!$F$79/12</f>
        <v>535880.30624999979</v>
      </c>
      <c r="D39" s="2">
        <f>SUM(B39:C39)</f>
        <v>17166648.431249991</v>
      </c>
      <c r="E39" s="1">
        <f>Input!$F$82/12</f>
        <v>-8101393.2103124978</v>
      </c>
      <c r="F39" s="1">
        <f>Input!$F$83/12</f>
        <v>-267940.1531249999</v>
      </c>
      <c r="G39" s="2">
        <f>SUM(E39:F39)</f>
        <v>-8369333.363437498</v>
      </c>
      <c r="H39" s="1">
        <f>Input!$F$110/12</f>
        <v>-440404.87560416647</v>
      </c>
      <c r="I39" s="1">
        <f>Input!$F$111/12</f>
        <v>-200334.54867708325</v>
      </c>
      <c r="J39" s="10">
        <f t="shared" si="0"/>
        <v>-640739.42428124975</v>
      </c>
      <c r="K39" s="10">
        <f>IF(ISERROR(HLOOKUP(CFs!A39,Input!$C$115:$L$117,2,FALSE)),0,HLOOKUP(CFs!A39,Input!$C$115:$L$117,2,FALSE))</f>
        <v>-241551.7046249999</v>
      </c>
      <c r="L39" s="10">
        <f>IF(ISERROR(HLOOKUP(CFs!A39,Input!$C$115:$L$117,3,FALSE)),0,HLOOKUP(CFs!A39,Input!$C$115:$L$117,3,FALSE))</f>
        <v>-138552.38468749996</v>
      </c>
      <c r="M39" s="10">
        <f>IF(ISERROR(HLOOKUP(CFs!$A39,Input!$C$119:$L$120,2,FALSE)),0,HLOOKUP(CFs!$A39,Input!$C$119:$L$120,2,FALSE))</f>
        <v>0</v>
      </c>
      <c r="N39" s="10">
        <f>IF(ISERROR(HLOOKUP(CFs!$A39,Input!$C$123:$L$124,2,FALSE)),0,HLOOKUP(CFs!$A39,Input!$C$123:$L$124,2,FALSE))</f>
        <v>-101499.99999999999</v>
      </c>
      <c r="O39" s="10">
        <f>IF(ISERROR(HLOOKUP(CFs!$A39,Input!$C$125:$L$126,2,FALSE)),0,HLOOKUP(CFs!$A39,Input!$C$125:$L$126,2,FALSE))</f>
        <v>-507499.99999999994</v>
      </c>
      <c r="P39" s="10">
        <f>IF(ISERROR(HLOOKUP(CFs!$A39,Input!$C$129:$L$130,2,FALSE)),0,HLOOKUP(CFs!$A39,Input!$C$129:$L$130,2,FALSE))</f>
        <v>0</v>
      </c>
      <c r="Q39" s="10">
        <f>IF(ISERROR(HLOOKUP(CFs!$A39,Input!$C$131:$L$132,2,FALSE)),0,HLOOKUP(CFs!$A39,Input!$C$131:$L$132,2,FALSE))</f>
        <v>0</v>
      </c>
      <c r="R39" s="10">
        <f>IF(ISERROR(HLOOKUP(CFs!$A39,Input!$C$135:$L$136,2,FALSE)),0,HLOOKUP(CFs!$A39,Input!$C$135:$L$136,2,FALSE))</f>
        <v>0</v>
      </c>
      <c r="S39" s="10">
        <f>IF(ISERROR(HLOOKUP(CFs!$A39,Input!$C$137:$L$138,2,FALSE)),0,HLOOKUP(CFs!$A39,Input!$C$137:$L$138,2,FALSE))</f>
        <v>0</v>
      </c>
      <c r="T39" s="10">
        <f>IF(ISERROR(HLOOKUP(CFs!$A39,Input!$C$139:$L$140,2,FALSE)),0,HLOOKUP(CFs!$A39,Input!$C$139:$L$140,2,FALSE))</f>
        <v>0</v>
      </c>
      <c r="U39" s="10">
        <f>IF(ISERROR(HLOOKUP(CFs!$A39,Input!$C$141:$L$142,2,FALSE)),0,HLOOKUP(CFs!$A39,Input!$C$141:$L$142,2,FALSE))</f>
        <v>0</v>
      </c>
      <c r="V39" s="10">
        <f>IF(ISERROR(HLOOKUP(CFs!$A39,Input!$C$143:$L$144,2,FALSE)),0,HLOOKUP(CFs!$A39,Input!$C$143:$L$144,2,FALSE))</f>
        <v>0</v>
      </c>
      <c r="W39" s="10">
        <f>IF(ISERROR(HLOOKUP(CFs!$A39,Input!$C$145:$L$146,2,FALSE)),0,HLOOKUP(CFs!$A39,Input!$C$145:$L$146,2,FALSE))</f>
        <v>0</v>
      </c>
      <c r="X39" s="10">
        <f>IF(ISERROR(HLOOKUP(CFs!$A39,Input!$C$147:$L$148,2,FALSE)),0,HLOOKUP(CFs!$A39,Input!$C$147:$L$148,2,FALSE))</f>
        <v>0</v>
      </c>
      <c r="Y39" s="13">
        <f t="shared" si="2"/>
        <v>-989104.08931249985</v>
      </c>
      <c r="Z39" s="10">
        <f>IF(ISERROR(HLOOKUP(CFs!$A39,Input!$C$152:$L$153,2,FALSE)),0,HLOOKUP(CFs!$A39,Input!$C$152:$L$153,2,FALSE))</f>
        <v>0</v>
      </c>
      <c r="AA39" s="10">
        <f>IF(ISERROR(HLOOKUP(CFs!$A39,Input!$C$149:$L$150,2,FALSE)),0,HLOOKUP(CFs!$A39,Input!$C$149:$L$150,2,FALSE))</f>
        <v>0</v>
      </c>
      <c r="AB39" s="10">
        <f>IF(ISERROR(HLOOKUP(CFs!$A39,Input!$C$151:$L$154,2,FALSE)),0,HLOOKUP(CFs!$A39,Input!$C$151:$L$154,2,FALSE))</f>
        <v>0</v>
      </c>
      <c r="AC39">
        <f t="shared" si="1"/>
        <v>0</v>
      </c>
      <c r="AD39" s="1" cm="1">
        <f t="array" ref="AD39">FirmaCashflow(Input!$C$165,Input!$C$166,Input!$C$163,Input!$D$163,CFs!A39)</f>
        <v>-87083.333333333328</v>
      </c>
      <c r="AE39" s="2">
        <f>D39+G39+J39+Y39+AC39+AD39</f>
        <v>7080388.22088541</v>
      </c>
      <c r="AF39" s="2">
        <f t="shared" si="3"/>
        <v>-4551141.8332812907</v>
      </c>
    </row>
    <row r="40" spans="1:32" x14ac:dyDescent="0.25">
      <c r="A40">
        <v>38</v>
      </c>
      <c r="B40" s="1">
        <f>Input!$F$78/12</f>
        <v>16630768.124999993</v>
      </c>
      <c r="C40" s="1">
        <f>Input!$F$79/12</f>
        <v>535880.30624999979</v>
      </c>
      <c r="D40" s="2">
        <f>SUM(B40:C40)</f>
        <v>17166648.431249991</v>
      </c>
      <c r="E40" s="1">
        <f>Input!$F$82/12</f>
        <v>-8101393.2103124978</v>
      </c>
      <c r="F40" s="1">
        <f>Input!$F$83/12</f>
        <v>-267940.1531249999</v>
      </c>
      <c r="G40" s="2">
        <f>SUM(E40:F40)</f>
        <v>-8369333.363437498</v>
      </c>
      <c r="H40" s="1">
        <f>Input!$F$110/12</f>
        <v>-440404.87560416647</v>
      </c>
      <c r="I40" s="1">
        <f>Input!$F$111/12</f>
        <v>-200334.54867708325</v>
      </c>
      <c r="J40" s="10">
        <f t="shared" si="0"/>
        <v>-640739.42428124975</v>
      </c>
      <c r="K40" s="10">
        <f>IF(ISERROR(HLOOKUP(CFs!A40,Input!$C$115:$L$117,2,FALSE)),0,HLOOKUP(CFs!A40,Input!$C$115:$L$117,2,FALSE))</f>
        <v>0</v>
      </c>
      <c r="L40" s="10">
        <f>IF(ISERROR(HLOOKUP(CFs!A40,Input!$C$115:$L$117,3,FALSE)),0,HLOOKUP(CFs!A40,Input!$C$115:$L$117,3,FALSE))</f>
        <v>0</v>
      </c>
      <c r="M40" s="10">
        <f>IF(ISERROR(HLOOKUP(CFs!$A40,Input!$C$119:$L$120,2,FALSE)),0,HLOOKUP(CFs!$A40,Input!$C$119:$L$120,2,FALSE))</f>
        <v>0</v>
      </c>
      <c r="N40" s="10">
        <f>IF(ISERROR(HLOOKUP(CFs!$A40,Input!$C$123:$L$124,2,FALSE)),0,HLOOKUP(CFs!$A40,Input!$C$123:$L$124,2,FALSE))</f>
        <v>0</v>
      </c>
      <c r="O40" s="10">
        <f>IF(ISERROR(HLOOKUP(CFs!$A40,Input!$C$125:$L$126,2,FALSE)),0,HLOOKUP(CFs!$A40,Input!$C$125:$L$126,2,FALSE))</f>
        <v>0</v>
      </c>
      <c r="P40" s="10">
        <f>IF(ISERROR(HLOOKUP(CFs!$A40,Input!$C$129:$L$130,2,FALSE)),0,HLOOKUP(CFs!$A40,Input!$C$129:$L$130,2,FALSE))</f>
        <v>0</v>
      </c>
      <c r="Q40" s="10">
        <f>IF(ISERROR(HLOOKUP(CFs!$A40,Input!$C$131:$L$132,2,FALSE)),0,HLOOKUP(CFs!$A40,Input!$C$131:$L$132,2,FALSE))</f>
        <v>0</v>
      </c>
      <c r="R40" s="10">
        <f>IF(ISERROR(HLOOKUP(CFs!$A40,Input!$C$135:$L$136,2,FALSE)),0,HLOOKUP(CFs!$A40,Input!$C$135:$L$136,2,FALSE))</f>
        <v>0</v>
      </c>
      <c r="S40" s="10">
        <f>IF(ISERROR(HLOOKUP(CFs!$A40,Input!$C$137:$L$138,2,FALSE)),0,HLOOKUP(CFs!$A40,Input!$C$137:$L$138,2,FALSE))</f>
        <v>0</v>
      </c>
      <c r="T40" s="10">
        <f>IF(ISERROR(HLOOKUP(CFs!$A40,Input!$C$139:$L$140,2,FALSE)),0,HLOOKUP(CFs!$A40,Input!$C$139:$L$140,2,FALSE))</f>
        <v>0</v>
      </c>
      <c r="U40" s="10">
        <f>IF(ISERROR(HLOOKUP(CFs!$A40,Input!$C$141:$L$142,2,FALSE)),0,HLOOKUP(CFs!$A40,Input!$C$141:$L$142,2,FALSE))</f>
        <v>0</v>
      </c>
      <c r="V40" s="10">
        <f>IF(ISERROR(HLOOKUP(CFs!$A40,Input!$C$143:$L$144,2,FALSE)),0,HLOOKUP(CFs!$A40,Input!$C$143:$L$144,2,FALSE))</f>
        <v>0</v>
      </c>
      <c r="W40" s="10">
        <f>IF(ISERROR(HLOOKUP(CFs!$A40,Input!$C$145:$L$146,2,FALSE)),0,HLOOKUP(CFs!$A40,Input!$C$145:$L$146,2,FALSE))</f>
        <v>0</v>
      </c>
      <c r="X40" s="10">
        <f>IF(ISERROR(HLOOKUP(CFs!$A40,Input!$C$147:$L$148,2,FALSE)),0,HLOOKUP(CFs!$A40,Input!$C$147:$L$148,2,FALSE))</f>
        <v>0</v>
      </c>
      <c r="Y40" s="13">
        <f t="shared" si="2"/>
        <v>0</v>
      </c>
      <c r="Z40" s="10">
        <f>IF(ISERROR(HLOOKUP(CFs!$A40,Input!$C$152:$L$153,2,FALSE)),0,HLOOKUP(CFs!$A40,Input!$C$152:$L$153,2,FALSE))</f>
        <v>0</v>
      </c>
      <c r="AA40" s="10">
        <f>IF(ISERROR(HLOOKUP(CFs!$A40,Input!$C$149:$L$150,2,FALSE)),0,HLOOKUP(CFs!$A40,Input!$C$149:$L$150,2,FALSE))</f>
        <v>0</v>
      </c>
      <c r="AB40" s="10">
        <f>IF(ISERROR(HLOOKUP(CFs!$A40,Input!$C$151:$L$154,2,FALSE)),0,HLOOKUP(CFs!$A40,Input!$C$151:$L$154,2,FALSE))</f>
        <v>0</v>
      </c>
      <c r="AC40">
        <f t="shared" si="1"/>
        <v>0</v>
      </c>
      <c r="AD40" s="1" cm="1">
        <f t="array" ref="AD40">FirmaCashflow(Input!$C$165,Input!$C$166,Input!$C$163,Input!$D$163,CFs!A40)</f>
        <v>-87083.333333333328</v>
      </c>
      <c r="AE40" s="2">
        <f>D40+G40+J40+Y40+AC40+AD40</f>
        <v>8069492.3101979103</v>
      </c>
      <c r="AF40" s="2">
        <f t="shared" si="3"/>
        <v>3518350.4769166196</v>
      </c>
    </row>
    <row r="41" spans="1:32" x14ac:dyDescent="0.25">
      <c r="A41">
        <v>39</v>
      </c>
      <c r="B41" s="1">
        <f>Input!$F$78/12</f>
        <v>16630768.124999993</v>
      </c>
      <c r="C41" s="1">
        <f>Input!$F$79/12</f>
        <v>535880.30624999979</v>
      </c>
      <c r="D41" s="2">
        <f>SUM(B41:C41)</f>
        <v>17166648.431249991</v>
      </c>
      <c r="E41" s="1">
        <f>Input!$F$82/12</f>
        <v>-8101393.2103124978</v>
      </c>
      <c r="F41" s="1">
        <f>Input!$F$83/12</f>
        <v>-267940.1531249999</v>
      </c>
      <c r="G41" s="2">
        <f>SUM(E41:F41)</f>
        <v>-8369333.363437498</v>
      </c>
      <c r="H41" s="1">
        <f>Input!$F$110/12</f>
        <v>-440404.87560416647</v>
      </c>
      <c r="I41" s="1">
        <f>Input!$F$111/12</f>
        <v>-200334.54867708325</v>
      </c>
      <c r="J41" s="10">
        <f t="shared" si="0"/>
        <v>-640739.42428124975</v>
      </c>
      <c r="K41" s="10">
        <f>IF(ISERROR(HLOOKUP(CFs!A41,Input!$C$115:$L$117,2,FALSE)),0,HLOOKUP(CFs!A41,Input!$C$115:$L$117,2,FALSE))</f>
        <v>0</v>
      </c>
      <c r="L41" s="10">
        <f>IF(ISERROR(HLOOKUP(CFs!A41,Input!$C$115:$L$117,3,FALSE)),0,HLOOKUP(CFs!A41,Input!$C$115:$L$117,3,FALSE))</f>
        <v>0</v>
      </c>
      <c r="M41" s="10">
        <f>IF(ISERROR(HLOOKUP(CFs!$A41,Input!$C$119:$L$120,2,FALSE)),0,HLOOKUP(CFs!$A41,Input!$C$119:$L$120,2,FALSE))</f>
        <v>0</v>
      </c>
      <c r="N41" s="10">
        <f>IF(ISERROR(HLOOKUP(CFs!$A41,Input!$C$123:$L$124,2,FALSE)),0,HLOOKUP(CFs!$A41,Input!$C$123:$L$124,2,FALSE))</f>
        <v>0</v>
      </c>
      <c r="O41" s="10">
        <f>IF(ISERROR(HLOOKUP(CFs!$A41,Input!$C$125:$L$126,2,FALSE)),0,HLOOKUP(CFs!$A41,Input!$C$125:$L$126,2,FALSE))</f>
        <v>0</v>
      </c>
      <c r="P41" s="10">
        <f>IF(ISERROR(HLOOKUP(CFs!$A41,Input!$C$129:$L$130,2,FALSE)),0,HLOOKUP(CFs!$A41,Input!$C$129:$L$130,2,FALSE))</f>
        <v>0</v>
      </c>
      <c r="Q41" s="10">
        <f>IF(ISERROR(HLOOKUP(CFs!$A41,Input!$C$131:$L$132,2,FALSE)),0,HLOOKUP(CFs!$A41,Input!$C$131:$L$132,2,FALSE))</f>
        <v>0</v>
      </c>
      <c r="R41" s="10">
        <f>IF(ISERROR(HLOOKUP(CFs!$A41,Input!$C$135:$L$136,2,FALSE)),0,HLOOKUP(CFs!$A41,Input!$C$135:$L$136,2,FALSE))</f>
        <v>0</v>
      </c>
      <c r="S41" s="10">
        <f>IF(ISERROR(HLOOKUP(CFs!$A41,Input!$C$137:$L$138,2,FALSE)),0,HLOOKUP(CFs!$A41,Input!$C$137:$L$138,2,FALSE))</f>
        <v>0</v>
      </c>
      <c r="T41" s="10">
        <f>IF(ISERROR(HLOOKUP(CFs!$A41,Input!$C$139:$L$140,2,FALSE)),0,HLOOKUP(CFs!$A41,Input!$C$139:$L$140,2,FALSE))</f>
        <v>0</v>
      </c>
      <c r="U41" s="10">
        <f>IF(ISERROR(HLOOKUP(CFs!$A41,Input!$C$141:$L$142,2,FALSE)),0,HLOOKUP(CFs!$A41,Input!$C$141:$L$142,2,FALSE))</f>
        <v>0</v>
      </c>
      <c r="V41" s="10">
        <f>IF(ISERROR(HLOOKUP(CFs!$A41,Input!$C$143:$L$144,2,FALSE)),0,HLOOKUP(CFs!$A41,Input!$C$143:$L$144,2,FALSE))</f>
        <v>0</v>
      </c>
      <c r="W41" s="10">
        <f>IF(ISERROR(HLOOKUP(CFs!$A41,Input!$C$145:$L$146,2,FALSE)),0,HLOOKUP(CFs!$A41,Input!$C$145:$L$146,2,FALSE))</f>
        <v>0</v>
      </c>
      <c r="X41" s="10">
        <f>IF(ISERROR(HLOOKUP(CFs!$A41,Input!$C$147:$L$148,2,FALSE)),0,HLOOKUP(CFs!$A41,Input!$C$147:$L$148,2,FALSE))</f>
        <v>0</v>
      </c>
      <c r="Y41" s="13">
        <f t="shared" si="2"/>
        <v>0</v>
      </c>
      <c r="Z41" s="10">
        <f>IF(ISERROR(HLOOKUP(CFs!$A41,Input!$C$152:$L$153,2,FALSE)),0,HLOOKUP(CFs!$A41,Input!$C$152:$L$153,2,FALSE))</f>
        <v>0</v>
      </c>
      <c r="AA41" s="10">
        <f>IF(ISERROR(HLOOKUP(CFs!$A41,Input!$C$149:$L$150,2,FALSE)),0,HLOOKUP(CFs!$A41,Input!$C$149:$L$150,2,FALSE))</f>
        <v>0</v>
      </c>
      <c r="AB41" s="10">
        <f>IF(ISERROR(HLOOKUP(CFs!$A41,Input!$C$151:$L$154,2,FALSE)),0,HLOOKUP(CFs!$A41,Input!$C$151:$L$154,2,FALSE))</f>
        <v>0</v>
      </c>
      <c r="AC41">
        <f t="shared" si="1"/>
        <v>0</v>
      </c>
      <c r="AD41" s="1" cm="1">
        <f t="array" ref="AD41">FirmaCashflow(Input!$C$165,Input!$C$166,Input!$C$163,Input!$D$163,CFs!A41)</f>
        <v>0</v>
      </c>
      <c r="AE41" s="2">
        <f>D41+G41+J41+Y41+AC41+AD41</f>
        <v>8156575.6435312433</v>
      </c>
      <c r="AF41" s="2">
        <f t="shared" si="3"/>
        <v>11674926.120447863</v>
      </c>
    </row>
    <row r="42" spans="1:32" x14ac:dyDescent="0.25">
      <c r="A42">
        <v>40</v>
      </c>
      <c r="B42" s="1">
        <f>Input!$F$78/12</f>
        <v>16630768.124999993</v>
      </c>
      <c r="C42" s="1">
        <f>Input!$F$79/12</f>
        <v>535880.30624999979</v>
      </c>
      <c r="D42" s="2">
        <f>SUM(B42:C42)</f>
        <v>17166648.431249991</v>
      </c>
      <c r="E42" s="1">
        <f>Input!$F$82/12</f>
        <v>-8101393.2103124978</v>
      </c>
      <c r="F42" s="1">
        <f>Input!$F$83/12</f>
        <v>-267940.1531249999</v>
      </c>
      <c r="G42" s="2">
        <f>SUM(E42:F42)</f>
        <v>-8369333.363437498</v>
      </c>
      <c r="H42" s="1">
        <f>Input!$F$110/12</f>
        <v>-440404.87560416647</v>
      </c>
      <c r="I42" s="1">
        <f>Input!$F$111/12</f>
        <v>-200334.54867708325</v>
      </c>
      <c r="J42" s="10">
        <f t="shared" si="0"/>
        <v>-640739.42428124975</v>
      </c>
      <c r="K42" s="10">
        <f>IF(ISERROR(HLOOKUP(CFs!A42,Input!$C$115:$L$117,2,FALSE)),0,HLOOKUP(CFs!A42,Input!$C$115:$L$117,2,FALSE))</f>
        <v>0</v>
      </c>
      <c r="L42" s="10">
        <f>IF(ISERROR(HLOOKUP(CFs!A42,Input!$C$115:$L$117,3,FALSE)),0,HLOOKUP(CFs!A42,Input!$C$115:$L$117,3,FALSE))</f>
        <v>0</v>
      </c>
      <c r="M42" s="10">
        <f>IF(ISERROR(HLOOKUP(CFs!$A42,Input!$C$119:$L$120,2,FALSE)),0,HLOOKUP(CFs!$A42,Input!$C$119:$L$120,2,FALSE))</f>
        <v>0</v>
      </c>
      <c r="N42" s="10">
        <f>IF(ISERROR(HLOOKUP(CFs!$A42,Input!$C$123:$L$124,2,FALSE)),0,HLOOKUP(CFs!$A42,Input!$C$123:$L$124,2,FALSE))</f>
        <v>0</v>
      </c>
      <c r="O42" s="10">
        <f>IF(ISERROR(HLOOKUP(CFs!$A42,Input!$C$125:$L$126,2,FALSE)),0,HLOOKUP(CFs!$A42,Input!$C$125:$L$126,2,FALSE))</f>
        <v>0</v>
      </c>
      <c r="P42" s="10">
        <f>IF(ISERROR(HLOOKUP(CFs!$A42,Input!$C$129:$L$130,2,FALSE)),0,HLOOKUP(CFs!$A42,Input!$C$129:$L$130,2,FALSE))</f>
        <v>0</v>
      </c>
      <c r="Q42" s="10">
        <f>IF(ISERROR(HLOOKUP(CFs!$A42,Input!$C$131:$L$132,2,FALSE)),0,HLOOKUP(CFs!$A42,Input!$C$131:$L$132,2,FALSE))</f>
        <v>0</v>
      </c>
      <c r="R42" s="10">
        <f>IF(ISERROR(HLOOKUP(CFs!$A42,Input!$C$135:$L$136,2,FALSE)),0,HLOOKUP(CFs!$A42,Input!$C$135:$L$136,2,FALSE))</f>
        <v>0</v>
      </c>
      <c r="S42" s="10">
        <f>IF(ISERROR(HLOOKUP(CFs!$A42,Input!$C$137:$L$138,2,FALSE)),0,HLOOKUP(CFs!$A42,Input!$C$137:$L$138,2,FALSE))</f>
        <v>0</v>
      </c>
      <c r="T42" s="10">
        <f>IF(ISERROR(HLOOKUP(CFs!$A42,Input!$C$139:$L$140,2,FALSE)),0,HLOOKUP(CFs!$A42,Input!$C$139:$L$140,2,FALSE))</f>
        <v>0</v>
      </c>
      <c r="U42" s="10">
        <f>IF(ISERROR(HLOOKUP(CFs!$A42,Input!$C$141:$L$142,2,FALSE)),0,HLOOKUP(CFs!$A42,Input!$C$141:$L$142,2,FALSE))</f>
        <v>0</v>
      </c>
      <c r="V42" s="10">
        <f>IF(ISERROR(HLOOKUP(CFs!$A42,Input!$C$143:$L$144,2,FALSE)),0,HLOOKUP(CFs!$A42,Input!$C$143:$L$144,2,FALSE))</f>
        <v>0</v>
      </c>
      <c r="W42" s="10">
        <f>IF(ISERROR(HLOOKUP(CFs!$A42,Input!$C$145:$L$146,2,FALSE)),0,HLOOKUP(CFs!$A42,Input!$C$145:$L$146,2,FALSE))</f>
        <v>0</v>
      </c>
      <c r="X42" s="10">
        <f>IF(ISERROR(HLOOKUP(CFs!$A42,Input!$C$147:$L$148,2,FALSE)),0,HLOOKUP(CFs!$A42,Input!$C$147:$L$148,2,FALSE))</f>
        <v>0</v>
      </c>
      <c r="Y42" s="13">
        <f t="shared" si="2"/>
        <v>0</v>
      </c>
      <c r="Z42" s="10">
        <f>IF(ISERROR(HLOOKUP(CFs!$A42,Input!$C$152:$L$153,2,FALSE)),0,HLOOKUP(CFs!$A42,Input!$C$152:$L$153,2,FALSE))</f>
        <v>0</v>
      </c>
      <c r="AA42" s="10">
        <f>IF(ISERROR(HLOOKUP(CFs!$A42,Input!$C$149:$L$150,2,FALSE)),0,HLOOKUP(CFs!$A42,Input!$C$149:$L$150,2,FALSE))</f>
        <v>0</v>
      </c>
      <c r="AB42" s="10">
        <f>IF(ISERROR(HLOOKUP(CFs!$A42,Input!$C$151:$L$154,2,FALSE)),0,HLOOKUP(CFs!$A42,Input!$C$151:$L$154,2,FALSE))</f>
        <v>0</v>
      </c>
      <c r="AC42">
        <f t="shared" si="1"/>
        <v>0</v>
      </c>
      <c r="AD42" s="1" cm="1">
        <f t="array" ref="AD42">FirmaCashflow(Input!$C$165,Input!$C$166,Input!$C$163,Input!$D$163,CFs!A42)</f>
        <v>0</v>
      </c>
      <c r="AE42" s="2">
        <f>D42+G42+J42+Y42+AC42+AD42</f>
        <v>8156575.6435312433</v>
      </c>
      <c r="AF42" s="2">
        <f t="shared" si="3"/>
        <v>19831501.763979107</v>
      </c>
    </row>
    <row r="43" spans="1:32" x14ac:dyDescent="0.25">
      <c r="A43">
        <v>41</v>
      </c>
      <c r="B43" s="1">
        <f>Input!$F$78/12</f>
        <v>16630768.124999993</v>
      </c>
      <c r="C43" s="1">
        <f>Input!$F$79/12</f>
        <v>535880.30624999979</v>
      </c>
      <c r="D43" s="2">
        <f>SUM(B43:C43)</f>
        <v>17166648.431249991</v>
      </c>
      <c r="E43" s="1">
        <f>Input!$F$82/12</f>
        <v>-8101393.2103124978</v>
      </c>
      <c r="F43" s="1">
        <f>Input!$F$83/12</f>
        <v>-267940.1531249999</v>
      </c>
      <c r="G43" s="2">
        <f>SUM(E43:F43)</f>
        <v>-8369333.363437498</v>
      </c>
      <c r="H43" s="1">
        <f>Input!$F$110/12</f>
        <v>-440404.87560416647</v>
      </c>
      <c r="I43" s="1">
        <f>Input!$F$111/12</f>
        <v>-200334.54867708325</v>
      </c>
      <c r="J43" s="10">
        <f t="shared" si="0"/>
        <v>-640739.42428124975</v>
      </c>
      <c r="K43" s="10">
        <f>IF(ISERROR(HLOOKUP(CFs!A43,Input!$C$115:$L$117,2,FALSE)),0,HLOOKUP(CFs!A43,Input!$C$115:$L$117,2,FALSE))</f>
        <v>0</v>
      </c>
      <c r="L43" s="10">
        <f>IF(ISERROR(HLOOKUP(CFs!A43,Input!$C$115:$L$117,3,FALSE)),0,HLOOKUP(CFs!A43,Input!$C$115:$L$117,3,FALSE))</f>
        <v>0</v>
      </c>
      <c r="M43" s="10">
        <f>IF(ISERROR(HLOOKUP(CFs!$A43,Input!$C$119:$L$120,2,FALSE)),0,HLOOKUP(CFs!$A43,Input!$C$119:$L$120,2,FALSE))</f>
        <v>0</v>
      </c>
      <c r="N43" s="10">
        <f>IF(ISERROR(HLOOKUP(CFs!$A43,Input!$C$123:$L$124,2,FALSE)),0,HLOOKUP(CFs!$A43,Input!$C$123:$L$124,2,FALSE))</f>
        <v>0</v>
      </c>
      <c r="O43" s="10">
        <f>IF(ISERROR(HLOOKUP(CFs!$A43,Input!$C$125:$L$126,2,FALSE)),0,HLOOKUP(CFs!$A43,Input!$C$125:$L$126,2,FALSE))</f>
        <v>0</v>
      </c>
      <c r="P43" s="10">
        <f>IF(ISERROR(HLOOKUP(CFs!$A43,Input!$C$129:$L$130,2,FALSE)),0,HLOOKUP(CFs!$A43,Input!$C$129:$L$130,2,FALSE))</f>
        <v>0</v>
      </c>
      <c r="Q43" s="10">
        <f>IF(ISERROR(HLOOKUP(CFs!$A43,Input!$C$131:$L$132,2,FALSE)),0,HLOOKUP(CFs!$A43,Input!$C$131:$L$132,2,FALSE))</f>
        <v>0</v>
      </c>
      <c r="R43" s="10">
        <f>IF(ISERROR(HLOOKUP(CFs!$A43,Input!$C$135:$L$136,2,FALSE)),0,HLOOKUP(CFs!$A43,Input!$C$135:$L$136,2,FALSE))</f>
        <v>0</v>
      </c>
      <c r="S43" s="10">
        <f>IF(ISERROR(HLOOKUP(CFs!$A43,Input!$C$137:$L$138,2,FALSE)),0,HLOOKUP(CFs!$A43,Input!$C$137:$L$138,2,FALSE))</f>
        <v>0</v>
      </c>
      <c r="T43" s="10">
        <f>IF(ISERROR(HLOOKUP(CFs!$A43,Input!$C$139:$L$140,2,FALSE)),0,HLOOKUP(CFs!$A43,Input!$C$139:$L$140,2,FALSE))</f>
        <v>0</v>
      </c>
      <c r="U43" s="10">
        <f>IF(ISERROR(HLOOKUP(CFs!$A43,Input!$C$141:$L$142,2,FALSE)),0,HLOOKUP(CFs!$A43,Input!$C$141:$L$142,2,FALSE))</f>
        <v>0</v>
      </c>
      <c r="V43" s="10">
        <f>IF(ISERROR(HLOOKUP(CFs!$A43,Input!$C$143:$L$144,2,FALSE)),0,HLOOKUP(CFs!$A43,Input!$C$143:$L$144,2,FALSE))</f>
        <v>0</v>
      </c>
      <c r="W43" s="10">
        <f>IF(ISERROR(HLOOKUP(CFs!$A43,Input!$C$145:$L$146,2,FALSE)),0,HLOOKUP(CFs!$A43,Input!$C$145:$L$146,2,FALSE))</f>
        <v>0</v>
      </c>
      <c r="X43" s="10">
        <f>IF(ISERROR(HLOOKUP(CFs!$A43,Input!$C$147:$L$148,2,FALSE)),0,HLOOKUP(CFs!$A43,Input!$C$147:$L$148,2,FALSE))</f>
        <v>0</v>
      </c>
      <c r="Y43" s="13">
        <f t="shared" si="2"/>
        <v>0</v>
      </c>
      <c r="Z43" s="10">
        <f>IF(ISERROR(HLOOKUP(CFs!$A43,Input!$C$152:$L$153,2,FALSE)),0,HLOOKUP(CFs!$A43,Input!$C$152:$L$153,2,FALSE))</f>
        <v>0</v>
      </c>
      <c r="AA43" s="10">
        <f>IF(ISERROR(HLOOKUP(CFs!$A43,Input!$C$149:$L$150,2,FALSE)),0,HLOOKUP(CFs!$A43,Input!$C$149:$L$150,2,FALSE))</f>
        <v>0</v>
      </c>
      <c r="AB43" s="10">
        <f>IF(ISERROR(HLOOKUP(CFs!$A43,Input!$C$151:$L$154,2,FALSE)),0,HLOOKUP(CFs!$A43,Input!$C$151:$L$154,2,FALSE))</f>
        <v>0</v>
      </c>
      <c r="AC43">
        <f t="shared" si="1"/>
        <v>0</v>
      </c>
      <c r="AD43" s="1" cm="1">
        <f t="array" ref="AD43">FirmaCashflow(Input!$C$165,Input!$C$166,Input!$C$163,Input!$D$163,CFs!A43)</f>
        <v>0</v>
      </c>
      <c r="AE43" s="2">
        <f>D43+G43+J43+Y43+AC43+AD43</f>
        <v>8156575.6435312433</v>
      </c>
      <c r="AF43" s="2">
        <f t="shared" si="3"/>
        <v>27988077.407510351</v>
      </c>
    </row>
    <row r="44" spans="1:32" x14ac:dyDescent="0.25">
      <c r="A44">
        <v>42</v>
      </c>
      <c r="B44" s="1">
        <f>Input!$F$78/12</f>
        <v>16630768.124999993</v>
      </c>
      <c r="C44" s="1">
        <f>Input!$F$79/12</f>
        <v>535880.30624999979</v>
      </c>
      <c r="D44" s="2">
        <f>SUM(B44:C44)</f>
        <v>17166648.431249991</v>
      </c>
      <c r="E44" s="1">
        <f>Input!$F$82/12</f>
        <v>-8101393.2103124978</v>
      </c>
      <c r="F44" s="1">
        <f>Input!$F$83/12</f>
        <v>-267940.1531249999</v>
      </c>
      <c r="G44" s="2">
        <f>SUM(E44:F44)</f>
        <v>-8369333.363437498</v>
      </c>
      <c r="H44" s="1">
        <f>Input!$F$110/12</f>
        <v>-440404.87560416647</v>
      </c>
      <c r="I44" s="1">
        <f>Input!$F$111/12</f>
        <v>-200334.54867708325</v>
      </c>
      <c r="J44" s="10">
        <f t="shared" si="0"/>
        <v>-640739.42428124975</v>
      </c>
      <c r="K44" s="10">
        <f>IF(ISERROR(HLOOKUP(CFs!A44,Input!$C$115:$L$117,2,FALSE)),0,HLOOKUP(CFs!A44,Input!$C$115:$L$117,2,FALSE))</f>
        <v>0</v>
      </c>
      <c r="L44" s="10">
        <f>IF(ISERROR(HLOOKUP(CFs!A44,Input!$C$115:$L$117,3,FALSE)),0,HLOOKUP(CFs!A44,Input!$C$115:$L$117,3,FALSE))</f>
        <v>0</v>
      </c>
      <c r="M44" s="10">
        <f>IF(ISERROR(HLOOKUP(CFs!$A44,Input!$C$119:$L$120,2,FALSE)),0,HLOOKUP(CFs!$A44,Input!$C$119:$L$120,2,FALSE))</f>
        <v>-608999.99999999988</v>
      </c>
      <c r="N44" s="10">
        <f>IF(ISERROR(HLOOKUP(CFs!$A44,Input!$C$123:$L$124,2,FALSE)),0,HLOOKUP(CFs!$A44,Input!$C$123:$L$124,2,FALSE))</f>
        <v>0</v>
      </c>
      <c r="O44" s="10">
        <f>IF(ISERROR(HLOOKUP(CFs!$A44,Input!$C$125:$L$126,2,FALSE)),0,HLOOKUP(CFs!$A44,Input!$C$125:$L$126,2,FALSE))</f>
        <v>0</v>
      </c>
      <c r="P44" s="10">
        <f>IF(ISERROR(HLOOKUP(CFs!$A44,Input!$C$129:$L$130,2,FALSE)),0,HLOOKUP(CFs!$A44,Input!$C$129:$L$130,2,FALSE))</f>
        <v>0</v>
      </c>
      <c r="Q44" s="10">
        <f>IF(ISERROR(HLOOKUP(CFs!$A44,Input!$C$131:$L$132,2,FALSE)),0,HLOOKUP(CFs!$A44,Input!$C$131:$L$132,2,FALSE))</f>
        <v>0</v>
      </c>
      <c r="R44" s="10">
        <f>IF(ISERROR(HLOOKUP(CFs!$A44,Input!$C$135:$L$136,2,FALSE)),0,HLOOKUP(CFs!$A44,Input!$C$135:$L$136,2,FALSE))</f>
        <v>0</v>
      </c>
      <c r="S44" s="10">
        <f>IF(ISERROR(HLOOKUP(CFs!$A44,Input!$C$137:$L$138,2,FALSE)),0,HLOOKUP(CFs!$A44,Input!$C$137:$L$138,2,FALSE))</f>
        <v>0</v>
      </c>
      <c r="T44" s="10">
        <f>IF(ISERROR(HLOOKUP(CFs!$A44,Input!$C$139:$L$140,2,FALSE)),0,HLOOKUP(CFs!$A44,Input!$C$139:$L$140,2,FALSE))</f>
        <v>0</v>
      </c>
      <c r="U44" s="10">
        <f>IF(ISERROR(HLOOKUP(CFs!$A44,Input!$C$141:$L$142,2,FALSE)),0,HLOOKUP(CFs!$A44,Input!$C$141:$L$142,2,FALSE))</f>
        <v>0</v>
      </c>
      <c r="V44" s="10">
        <f>IF(ISERROR(HLOOKUP(CFs!$A44,Input!$C$143:$L$144,2,FALSE)),0,HLOOKUP(CFs!$A44,Input!$C$143:$L$144,2,FALSE))</f>
        <v>0</v>
      </c>
      <c r="W44" s="10">
        <f>IF(ISERROR(HLOOKUP(CFs!$A44,Input!$C$145:$L$146,2,FALSE)),0,HLOOKUP(CFs!$A44,Input!$C$145:$L$146,2,FALSE))</f>
        <v>0</v>
      </c>
      <c r="X44" s="10">
        <f>IF(ISERROR(HLOOKUP(CFs!$A44,Input!$C$147:$L$148,2,FALSE)),0,HLOOKUP(CFs!$A44,Input!$C$147:$L$148,2,FALSE))</f>
        <v>0</v>
      </c>
      <c r="Y44" s="13">
        <f t="shared" si="2"/>
        <v>-608999.99999999988</v>
      </c>
      <c r="Z44" s="10">
        <f>IF(ISERROR(HLOOKUP(CFs!$A44,Input!$C$152:$L$153,2,FALSE)),0,HLOOKUP(CFs!$A44,Input!$C$152:$L$153,2,FALSE))</f>
        <v>0</v>
      </c>
      <c r="AA44" s="10">
        <f>IF(ISERROR(HLOOKUP(CFs!$A44,Input!$C$149:$L$150,2,FALSE)),0,HLOOKUP(CFs!$A44,Input!$C$149:$L$150,2,FALSE))</f>
        <v>0</v>
      </c>
      <c r="AB44" s="10">
        <f>IF(ISERROR(HLOOKUP(CFs!$A44,Input!$C$151:$L$154,2,FALSE)),0,HLOOKUP(CFs!$A44,Input!$C$151:$L$154,2,FALSE))</f>
        <v>0</v>
      </c>
      <c r="AC44">
        <f t="shared" si="1"/>
        <v>0</v>
      </c>
      <c r="AD44" s="1" cm="1">
        <f t="array" ref="AD44">FirmaCashflow(Input!$C$165,Input!$C$166,Input!$C$163,Input!$D$163,CFs!A44)</f>
        <v>0</v>
      </c>
      <c r="AE44" s="2">
        <f>D44+G44+J44+Y44+AC44+AD44</f>
        <v>7547575.6435312433</v>
      </c>
      <c r="AF44" s="2">
        <f t="shared" si="3"/>
        <v>35535653.051041596</v>
      </c>
    </row>
    <row r="45" spans="1:32" x14ac:dyDescent="0.25">
      <c r="A45">
        <v>43</v>
      </c>
      <c r="B45" s="1">
        <f>Input!$F$78/12</f>
        <v>16630768.124999993</v>
      </c>
      <c r="C45" s="1">
        <f>Input!$F$79/12</f>
        <v>535880.30624999979</v>
      </c>
      <c r="D45" s="2">
        <f>SUM(B45:C45)</f>
        <v>17166648.431249991</v>
      </c>
      <c r="E45" s="1">
        <f>Input!$F$82/12</f>
        <v>-8101393.2103124978</v>
      </c>
      <c r="F45" s="1">
        <f>Input!$F$83/12</f>
        <v>-267940.1531249999</v>
      </c>
      <c r="G45" s="2">
        <f>SUM(E45:F45)</f>
        <v>-8369333.363437498</v>
      </c>
      <c r="H45" s="1">
        <f>Input!$F$110/12</f>
        <v>-440404.87560416647</v>
      </c>
      <c r="I45" s="1">
        <f>Input!$F$111/12</f>
        <v>-200334.54867708325</v>
      </c>
      <c r="J45" s="10">
        <f t="shared" si="0"/>
        <v>-640739.42428124975</v>
      </c>
      <c r="K45" s="10">
        <f>IF(ISERROR(HLOOKUP(CFs!A45,Input!$C$115:$L$117,2,FALSE)),0,HLOOKUP(CFs!A45,Input!$C$115:$L$117,2,FALSE))</f>
        <v>0</v>
      </c>
      <c r="L45" s="10">
        <f>IF(ISERROR(HLOOKUP(CFs!A45,Input!$C$115:$L$117,3,FALSE)),0,HLOOKUP(CFs!A45,Input!$C$115:$L$117,3,FALSE))</f>
        <v>0</v>
      </c>
      <c r="M45" s="10">
        <f>IF(ISERROR(HLOOKUP(CFs!$A45,Input!$C$119:$L$120,2,FALSE)),0,HLOOKUP(CFs!$A45,Input!$C$119:$L$120,2,FALSE))</f>
        <v>0</v>
      </c>
      <c r="N45" s="10">
        <f>IF(ISERROR(HLOOKUP(CFs!$A45,Input!$C$123:$L$124,2,FALSE)),0,HLOOKUP(CFs!$A45,Input!$C$123:$L$124,2,FALSE))</f>
        <v>0</v>
      </c>
      <c r="O45" s="10">
        <f>IF(ISERROR(HLOOKUP(CFs!$A45,Input!$C$125:$L$126,2,FALSE)),0,HLOOKUP(CFs!$A45,Input!$C$125:$L$126,2,FALSE))</f>
        <v>0</v>
      </c>
      <c r="P45" s="10">
        <f>IF(ISERROR(HLOOKUP(CFs!$A45,Input!$C$129:$L$130,2,FALSE)),0,HLOOKUP(CFs!$A45,Input!$C$129:$L$130,2,FALSE))</f>
        <v>0</v>
      </c>
      <c r="Q45" s="10">
        <f>IF(ISERROR(HLOOKUP(CFs!$A45,Input!$C$131:$L$132,2,FALSE)),0,HLOOKUP(CFs!$A45,Input!$C$131:$L$132,2,FALSE))</f>
        <v>0</v>
      </c>
      <c r="R45" s="10">
        <f>IF(ISERROR(HLOOKUP(CFs!$A45,Input!$C$135:$L$136,2,FALSE)),0,HLOOKUP(CFs!$A45,Input!$C$135:$L$136,2,FALSE))</f>
        <v>0</v>
      </c>
      <c r="S45" s="10">
        <f>IF(ISERROR(HLOOKUP(CFs!$A45,Input!$C$137:$L$138,2,FALSE)),0,HLOOKUP(CFs!$A45,Input!$C$137:$L$138,2,FALSE))</f>
        <v>0</v>
      </c>
      <c r="T45" s="10">
        <f>IF(ISERROR(HLOOKUP(CFs!$A45,Input!$C$139:$L$140,2,FALSE)),0,HLOOKUP(CFs!$A45,Input!$C$139:$L$140,2,FALSE))</f>
        <v>0</v>
      </c>
      <c r="U45" s="10">
        <f>IF(ISERROR(HLOOKUP(CFs!$A45,Input!$C$141:$L$142,2,FALSE)),0,HLOOKUP(CFs!$A45,Input!$C$141:$L$142,2,FALSE))</f>
        <v>0</v>
      </c>
      <c r="V45" s="10">
        <f>IF(ISERROR(HLOOKUP(CFs!$A45,Input!$C$143:$L$144,2,FALSE)),0,HLOOKUP(CFs!$A45,Input!$C$143:$L$144,2,FALSE))</f>
        <v>0</v>
      </c>
      <c r="W45" s="10">
        <f>IF(ISERROR(HLOOKUP(CFs!$A45,Input!$C$145:$L$146,2,FALSE)),0,HLOOKUP(CFs!$A45,Input!$C$145:$L$146,2,FALSE))</f>
        <v>0</v>
      </c>
      <c r="X45" s="10">
        <f>IF(ISERROR(HLOOKUP(CFs!$A45,Input!$C$147:$L$148,2,FALSE)),0,HLOOKUP(CFs!$A45,Input!$C$147:$L$148,2,FALSE))</f>
        <v>0</v>
      </c>
      <c r="Y45" s="13">
        <f t="shared" si="2"/>
        <v>0</v>
      </c>
      <c r="Z45" s="10">
        <f>IF(ISERROR(HLOOKUP(CFs!$A45,Input!$C$152:$L$153,2,FALSE)),0,HLOOKUP(CFs!$A45,Input!$C$152:$L$153,2,FALSE))</f>
        <v>0</v>
      </c>
      <c r="AA45" s="10">
        <f>IF(ISERROR(HLOOKUP(CFs!$A45,Input!$C$149:$L$150,2,FALSE)),0,HLOOKUP(CFs!$A45,Input!$C$149:$L$150,2,FALSE))</f>
        <v>0</v>
      </c>
      <c r="AB45" s="10">
        <f>IF(ISERROR(HLOOKUP(CFs!$A45,Input!$C$151:$L$154,2,FALSE)),0,HLOOKUP(CFs!$A45,Input!$C$151:$L$154,2,FALSE))</f>
        <v>0</v>
      </c>
      <c r="AC45">
        <f t="shared" si="1"/>
        <v>0</v>
      </c>
      <c r="AD45" s="1" cm="1">
        <f t="array" ref="AD45">FirmaCashflow(Input!$C$165,Input!$C$166,Input!$C$163,Input!$D$163,CFs!A45)</f>
        <v>0</v>
      </c>
      <c r="AE45" s="2">
        <f>D45+G45+J45+Y45+AC45+AD45</f>
        <v>8156575.6435312433</v>
      </c>
      <c r="AF45" s="2">
        <f t="shared" si="3"/>
        <v>43692228.694572836</v>
      </c>
    </row>
    <row r="46" spans="1:32" x14ac:dyDescent="0.25">
      <c r="A46">
        <v>44</v>
      </c>
      <c r="B46" s="1">
        <f>Input!$F$78/12</f>
        <v>16630768.124999993</v>
      </c>
      <c r="C46" s="1">
        <f>Input!$F$79/12</f>
        <v>535880.30624999979</v>
      </c>
      <c r="D46" s="2">
        <f>SUM(B46:C46)</f>
        <v>17166648.431249991</v>
      </c>
      <c r="E46" s="1">
        <f>Input!$F$82/12</f>
        <v>-8101393.2103124978</v>
      </c>
      <c r="F46" s="1">
        <f>Input!$F$83/12</f>
        <v>-267940.1531249999</v>
      </c>
      <c r="G46" s="2">
        <f>SUM(E46:F46)</f>
        <v>-8369333.363437498</v>
      </c>
      <c r="H46" s="1">
        <f>Input!$F$110/12</f>
        <v>-440404.87560416647</v>
      </c>
      <c r="I46" s="1">
        <f>Input!$F$111/12</f>
        <v>-200334.54867708325</v>
      </c>
      <c r="J46" s="10">
        <f t="shared" si="0"/>
        <v>-640739.42428124975</v>
      </c>
      <c r="K46" s="10">
        <f>IF(ISERROR(HLOOKUP(CFs!A46,Input!$C$115:$L$117,2,FALSE)),0,HLOOKUP(CFs!A46,Input!$C$115:$L$117,2,FALSE))</f>
        <v>0</v>
      </c>
      <c r="L46" s="10">
        <f>IF(ISERROR(HLOOKUP(CFs!A46,Input!$C$115:$L$117,3,FALSE)),0,HLOOKUP(CFs!A46,Input!$C$115:$L$117,3,FALSE))</f>
        <v>0</v>
      </c>
      <c r="M46" s="10">
        <f>IF(ISERROR(HLOOKUP(CFs!$A46,Input!$C$119:$L$120,2,FALSE)),0,HLOOKUP(CFs!$A46,Input!$C$119:$L$120,2,FALSE))</f>
        <v>0</v>
      </c>
      <c r="N46" s="10">
        <f>IF(ISERROR(HLOOKUP(CFs!$A46,Input!$C$123:$L$124,2,FALSE)),0,HLOOKUP(CFs!$A46,Input!$C$123:$L$124,2,FALSE))</f>
        <v>0</v>
      </c>
      <c r="O46" s="10">
        <f>IF(ISERROR(HLOOKUP(CFs!$A46,Input!$C$125:$L$126,2,FALSE)),0,HLOOKUP(CFs!$A46,Input!$C$125:$L$126,2,FALSE))</f>
        <v>0</v>
      </c>
      <c r="P46" s="10">
        <f>IF(ISERROR(HLOOKUP(CFs!$A46,Input!$C$129:$L$130,2,FALSE)),0,HLOOKUP(CFs!$A46,Input!$C$129:$L$130,2,FALSE))</f>
        <v>0</v>
      </c>
      <c r="Q46" s="10">
        <f>IF(ISERROR(HLOOKUP(CFs!$A46,Input!$C$131:$L$132,2,FALSE)),0,HLOOKUP(CFs!$A46,Input!$C$131:$L$132,2,FALSE))</f>
        <v>0</v>
      </c>
      <c r="R46" s="10">
        <f>IF(ISERROR(HLOOKUP(CFs!$A46,Input!$C$135:$L$136,2,FALSE)),0,HLOOKUP(CFs!$A46,Input!$C$135:$L$136,2,FALSE))</f>
        <v>0</v>
      </c>
      <c r="S46" s="10">
        <f>IF(ISERROR(HLOOKUP(CFs!$A46,Input!$C$137:$L$138,2,FALSE)),0,HLOOKUP(CFs!$A46,Input!$C$137:$L$138,2,FALSE))</f>
        <v>0</v>
      </c>
      <c r="T46" s="10">
        <f>IF(ISERROR(HLOOKUP(CFs!$A46,Input!$C$139:$L$140,2,FALSE)),0,HLOOKUP(CFs!$A46,Input!$C$139:$L$140,2,FALSE))</f>
        <v>0</v>
      </c>
      <c r="U46" s="10">
        <f>IF(ISERROR(HLOOKUP(CFs!$A46,Input!$C$141:$L$142,2,FALSE)),0,HLOOKUP(CFs!$A46,Input!$C$141:$L$142,2,FALSE))</f>
        <v>0</v>
      </c>
      <c r="V46" s="10">
        <f>IF(ISERROR(HLOOKUP(CFs!$A46,Input!$C$143:$L$144,2,FALSE)),0,HLOOKUP(CFs!$A46,Input!$C$143:$L$144,2,FALSE))</f>
        <v>0</v>
      </c>
      <c r="W46" s="10">
        <f>IF(ISERROR(HLOOKUP(CFs!$A46,Input!$C$145:$L$146,2,FALSE)),0,HLOOKUP(CFs!$A46,Input!$C$145:$L$146,2,FALSE))</f>
        <v>0</v>
      </c>
      <c r="X46" s="10">
        <f>IF(ISERROR(HLOOKUP(CFs!$A46,Input!$C$147:$L$148,2,FALSE)),0,HLOOKUP(CFs!$A46,Input!$C$147:$L$148,2,FALSE))</f>
        <v>0</v>
      </c>
      <c r="Y46" s="13">
        <f t="shared" si="2"/>
        <v>0</v>
      </c>
      <c r="Z46" s="10">
        <f>IF(ISERROR(HLOOKUP(CFs!$A46,Input!$C$152:$L$153,2,FALSE)),0,HLOOKUP(CFs!$A46,Input!$C$152:$L$153,2,FALSE))</f>
        <v>0</v>
      </c>
      <c r="AA46" s="10">
        <f>IF(ISERROR(HLOOKUP(CFs!$A46,Input!$C$149:$L$150,2,FALSE)),0,HLOOKUP(CFs!$A46,Input!$C$149:$L$150,2,FALSE))</f>
        <v>0</v>
      </c>
      <c r="AB46" s="10">
        <f>IF(ISERROR(HLOOKUP(CFs!$A46,Input!$C$151:$L$154,2,FALSE)),0,HLOOKUP(CFs!$A46,Input!$C$151:$L$154,2,FALSE))</f>
        <v>0</v>
      </c>
      <c r="AC46">
        <f t="shared" si="1"/>
        <v>0</v>
      </c>
      <c r="AD46" s="1" cm="1">
        <f t="array" ref="AD46">FirmaCashflow(Input!$C$165,Input!$C$166,Input!$C$163,Input!$D$163,CFs!A46)</f>
        <v>0</v>
      </c>
      <c r="AE46" s="2">
        <f>D46+G46+J46+Y46+AC46+AD46</f>
        <v>8156575.6435312433</v>
      </c>
      <c r="AF46" s="2">
        <f t="shared" si="3"/>
        <v>51848804.338104077</v>
      </c>
    </row>
    <row r="47" spans="1:32" x14ac:dyDescent="0.25">
      <c r="A47">
        <v>45</v>
      </c>
      <c r="B47" s="1">
        <f>Input!$F$78/12</f>
        <v>16630768.124999993</v>
      </c>
      <c r="C47" s="1">
        <f>Input!$F$79/12</f>
        <v>535880.30624999979</v>
      </c>
      <c r="D47" s="2">
        <f>SUM(B47:C47)</f>
        <v>17166648.431249991</v>
      </c>
      <c r="E47" s="1">
        <f>Input!$F$82/12</f>
        <v>-8101393.2103124978</v>
      </c>
      <c r="F47" s="1">
        <f>Input!$F$83/12</f>
        <v>-267940.1531249999</v>
      </c>
      <c r="G47" s="2">
        <f>SUM(E47:F47)</f>
        <v>-8369333.363437498</v>
      </c>
      <c r="H47" s="1">
        <f>Input!$F$110/12</f>
        <v>-440404.87560416647</v>
      </c>
      <c r="I47" s="1">
        <f>Input!$F$111/12</f>
        <v>-200334.54867708325</v>
      </c>
      <c r="J47" s="10">
        <f t="shared" si="0"/>
        <v>-640739.42428124975</v>
      </c>
      <c r="K47" s="10">
        <f>IF(ISERROR(HLOOKUP(CFs!A47,Input!$C$115:$L$117,2,FALSE)),0,HLOOKUP(CFs!A47,Input!$C$115:$L$117,2,FALSE))</f>
        <v>0</v>
      </c>
      <c r="L47" s="10">
        <f>IF(ISERROR(HLOOKUP(CFs!A47,Input!$C$115:$L$117,3,FALSE)),0,HLOOKUP(CFs!A47,Input!$C$115:$L$117,3,FALSE))</f>
        <v>0</v>
      </c>
      <c r="M47" s="10">
        <f>IF(ISERROR(HLOOKUP(CFs!$A47,Input!$C$119:$L$120,2,FALSE)),0,HLOOKUP(CFs!$A47,Input!$C$119:$L$120,2,FALSE))</f>
        <v>0</v>
      </c>
      <c r="N47" s="10">
        <f>IF(ISERROR(HLOOKUP(CFs!$A47,Input!$C$123:$L$124,2,FALSE)),0,HLOOKUP(CFs!$A47,Input!$C$123:$L$124,2,FALSE))</f>
        <v>0</v>
      </c>
      <c r="O47" s="10">
        <f>IF(ISERROR(HLOOKUP(CFs!$A47,Input!$C$125:$L$126,2,FALSE)),0,HLOOKUP(CFs!$A47,Input!$C$125:$L$126,2,FALSE))</f>
        <v>0</v>
      </c>
      <c r="P47" s="10">
        <f>IF(ISERROR(HLOOKUP(CFs!$A47,Input!$C$129:$L$130,2,FALSE)),0,HLOOKUP(CFs!$A47,Input!$C$129:$L$130,2,FALSE))</f>
        <v>0</v>
      </c>
      <c r="Q47" s="10">
        <f>IF(ISERROR(HLOOKUP(CFs!$A47,Input!$C$131:$L$132,2,FALSE)),0,HLOOKUP(CFs!$A47,Input!$C$131:$L$132,2,FALSE))</f>
        <v>0</v>
      </c>
      <c r="R47" s="10">
        <f>IF(ISERROR(HLOOKUP(CFs!$A47,Input!$C$135:$L$136,2,FALSE)),0,HLOOKUP(CFs!$A47,Input!$C$135:$L$136,2,FALSE))</f>
        <v>0</v>
      </c>
      <c r="S47" s="10">
        <f>IF(ISERROR(HLOOKUP(CFs!$A47,Input!$C$137:$L$138,2,FALSE)),0,HLOOKUP(CFs!$A47,Input!$C$137:$L$138,2,FALSE))</f>
        <v>0</v>
      </c>
      <c r="T47" s="10">
        <f>IF(ISERROR(HLOOKUP(CFs!$A47,Input!$C$139:$L$140,2,FALSE)),0,HLOOKUP(CFs!$A47,Input!$C$139:$L$140,2,FALSE))</f>
        <v>0</v>
      </c>
      <c r="U47" s="10">
        <f>IF(ISERROR(HLOOKUP(CFs!$A47,Input!$C$141:$L$142,2,FALSE)),0,HLOOKUP(CFs!$A47,Input!$C$141:$L$142,2,FALSE))</f>
        <v>0</v>
      </c>
      <c r="V47" s="10">
        <f>IF(ISERROR(HLOOKUP(CFs!$A47,Input!$C$143:$L$144,2,FALSE)),0,HLOOKUP(CFs!$A47,Input!$C$143:$L$144,2,FALSE))</f>
        <v>0</v>
      </c>
      <c r="W47" s="10">
        <f>IF(ISERROR(HLOOKUP(CFs!$A47,Input!$C$145:$L$146,2,FALSE)),0,HLOOKUP(CFs!$A47,Input!$C$145:$L$146,2,FALSE))</f>
        <v>0</v>
      </c>
      <c r="X47" s="10">
        <f>IF(ISERROR(HLOOKUP(CFs!$A47,Input!$C$147:$L$148,2,FALSE)),0,HLOOKUP(CFs!$A47,Input!$C$147:$L$148,2,FALSE))</f>
        <v>0</v>
      </c>
      <c r="Y47" s="13">
        <f t="shared" si="2"/>
        <v>0</v>
      </c>
      <c r="Z47" s="10">
        <f>IF(ISERROR(HLOOKUP(CFs!$A47,Input!$C$152:$L$153,2,FALSE)),0,HLOOKUP(CFs!$A47,Input!$C$152:$L$153,2,FALSE))</f>
        <v>0</v>
      </c>
      <c r="AA47" s="10">
        <f>IF(ISERROR(HLOOKUP(CFs!$A47,Input!$C$149:$L$150,2,FALSE)),0,HLOOKUP(CFs!$A47,Input!$C$149:$L$150,2,FALSE))</f>
        <v>0</v>
      </c>
      <c r="AB47" s="10">
        <f>IF(ISERROR(HLOOKUP(CFs!$A47,Input!$C$151:$L$154,2,FALSE)),0,HLOOKUP(CFs!$A47,Input!$C$151:$L$154,2,FALSE))</f>
        <v>0</v>
      </c>
      <c r="AC47">
        <f t="shared" si="1"/>
        <v>0</v>
      </c>
      <c r="AD47" s="1" cm="1">
        <f t="array" ref="AD47">FirmaCashflow(Input!$C$165,Input!$C$166,Input!$C$163,Input!$D$163,CFs!A47)</f>
        <v>0</v>
      </c>
      <c r="AE47" s="2">
        <f>D47+G47+J47+Y47+AC47+AD47</f>
        <v>8156575.6435312433</v>
      </c>
      <c r="AF47" s="2">
        <f t="shared" si="3"/>
        <v>60005379.981635317</v>
      </c>
    </row>
    <row r="48" spans="1:32" x14ac:dyDescent="0.25">
      <c r="A48">
        <v>46</v>
      </c>
      <c r="B48" s="1">
        <f>Input!$F$78/12</f>
        <v>16630768.124999993</v>
      </c>
      <c r="C48" s="1">
        <f>Input!$F$79/12</f>
        <v>535880.30624999979</v>
      </c>
      <c r="D48" s="2">
        <f>SUM(B48:C48)</f>
        <v>17166648.431249991</v>
      </c>
      <c r="E48" s="1">
        <f>Input!$F$82/12</f>
        <v>-8101393.2103124978</v>
      </c>
      <c r="F48" s="1">
        <f>Input!$F$83/12</f>
        <v>-267940.1531249999</v>
      </c>
      <c r="G48" s="2">
        <f>SUM(E48:F48)</f>
        <v>-8369333.363437498</v>
      </c>
      <c r="H48" s="1">
        <f>Input!$F$110/12</f>
        <v>-440404.87560416647</v>
      </c>
      <c r="I48" s="1">
        <f>Input!$F$111/12</f>
        <v>-200334.54867708325</v>
      </c>
      <c r="J48" s="10">
        <f t="shared" si="0"/>
        <v>-640739.42428124975</v>
      </c>
      <c r="K48" s="10">
        <f>IF(ISERROR(HLOOKUP(CFs!A48,Input!$C$115:$L$117,2,FALSE)),0,HLOOKUP(CFs!A48,Input!$C$115:$L$117,2,FALSE))</f>
        <v>0</v>
      </c>
      <c r="L48" s="10">
        <f>IF(ISERROR(HLOOKUP(CFs!A48,Input!$C$115:$L$117,3,FALSE)),0,HLOOKUP(CFs!A48,Input!$C$115:$L$117,3,FALSE))</f>
        <v>0</v>
      </c>
      <c r="M48" s="10">
        <f>IF(ISERROR(HLOOKUP(CFs!$A48,Input!$C$119:$L$120,2,FALSE)),0,HLOOKUP(CFs!$A48,Input!$C$119:$L$120,2,FALSE))</f>
        <v>0</v>
      </c>
      <c r="N48" s="10">
        <f>IF(ISERROR(HLOOKUP(CFs!$A48,Input!$C$123:$L$124,2,FALSE)),0,HLOOKUP(CFs!$A48,Input!$C$123:$L$124,2,FALSE))</f>
        <v>0</v>
      </c>
      <c r="O48" s="10">
        <f>IF(ISERROR(HLOOKUP(CFs!$A48,Input!$C$125:$L$126,2,FALSE)),0,HLOOKUP(CFs!$A48,Input!$C$125:$L$126,2,FALSE))</f>
        <v>0</v>
      </c>
      <c r="P48" s="10">
        <f>IF(ISERROR(HLOOKUP(CFs!$A48,Input!$C$129:$L$130,2,FALSE)),0,HLOOKUP(CFs!$A48,Input!$C$129:$L$130,2,FALSE))</f>
        <v>0</v>
      </c>
      <c r="Q48" s="10">
        <f>IF(ISERROR(HLOOKUP(CFs!$A48,Input!$C$131:$L$132,2,FALSE)),0,HLOOKUP(CFs!$A48,Input!$C$131:$L$132,2,FALSE))</f>
        <v>0</v>
      </c>
      <c r="R48" s="10">
        <f>IF(ISERROR(HLOOKUP(CFs!$A48,Input!$C$135:$L$136,2,FALSE)),0,HLOOKUP(CFs!$A48,Input!$C$135:$L$136,2,FALSE))</f>
        <v>0</v>
      </c>
      <c r="S48" s="10">
        <f>IF(ISERROR(HLOOKUP(CFs!$A48,Input!$C$137:$L$138,2,FALSE)),0,HLOOKUP(CFs!$A48,Input!$C$137:$L$138,2,FALSE))</f>
        <v>0</v>
      </c>
      <c r="T48" s="10">
        <f>IF(ISERROR(HLOOKUP(CFs!$A48,Input!$C$139:$L$140,2,FALSE)),0,HLOOKUP(CFs!$A48,Input!$C$139:$L$140,2,FALSE))</f>
        <v>0</v>
      </c>
      <c r="U48" s="10">
        <f>IF(ISERROR(HLOOKUP(CFs!$A48,Input!$C$141:$L$142,2,FALSE)),0,HLOOKUP(CFs!$A48,Input!$C$141:$L$142,2,FALSE))</f>
        <v>0</v>
      </c>
      <c r="V48" s="10">
        <f>IF(ISERROR(HLOOKUP(CFs!$A48,Input!$C$143:$L$144,2,FALSE)),0,HLOOKUP(CFs!$A48,Input!$C$143:$L$144,2,FALSE))</f>
        <v>0</v>
      </c>
      <c r="W48" s="10">
        <f>IF(ISERROR(HLOOKUP(CFs!$A48,Input!$C$145:$L$146,2,FALSE)),0,HLOOKUP(CFs!$A48,Input!$C$145:$L$146,2,FALSE))</f>
        <v>0</v>
      </c>
      <c r="X48" s="10">
        <f>IF(ISERROR(HLOOKUP(CFs!$A48,Input!$C$147:$L$148,2,FALSE)),0,HLOOKUP(CFs!$A48,Input!$C$147:$L$148,2,FALSE))</f>
        <v>0</v>
      </c>
      <c r="Y48" s="13">
        <f t="shared" si="2"/>
        <v>0</v>
      </c>
      <c r="Z48" s="10">
        <f>IF(ISERROR(HLOOKUP(CFs!$A48,Input!$C$152:$L$153,2,FALSE)),0,HLOOKUP(CFs!$A48,Input!$C$152:$L$153,2,FALSE))</f>
        <v>0</v>
      </c>
      <c r="AA48" s="10">
        <f>IF(ISERROR(HLOOKUP(CFs!$A48,Input!$C$149:$L$150,2,FALSE)),0,HLOOKUP(CFs!$A48,Input!$C$149:$L$150,2,FALSE))</f>
        <v>0</v>
      </c>
      <c r="AB48" s="10">
        <f>IF(ISERROR(HLOOKUP(CFs!$A48,Input!$C$151:$L$154,2,FALSE)),0,HLOOKUP(CFs!$A48,Input!$C$151:$L$154,2,FALSE))</f>
        <v>0</v>
      </c>
      <c r="AC48">
        <f t="shared" si="1"/>
        <v>0</v>
      </c>
      <c r="AD48" s="1" cm="1">
        <f t="array" ref="AD48">FirmaCashflow(Input!$C$165,Input!$C$166,Input!$C$163,Input!$D$163,CFs!A48)</f>
        <v>0</v>
      </c>
      <c r="AE48" s="2">
        <f>D48+G48+J48+Y48+AC48+AD48</f>
        <v>8156575.6435312433</v>
      </c>
      <c r="AF48" s="2">
        <f t="shared" si="3"/>
        <v>68161955.625166565</v>
      </c>
    </row>
    <row r="49" spans="1:32" x14ac:dyDescent="0.25">
      <c r="A49">
        <v>47</v>
      </c>
      <c r="B49" s="1">
        <f>Input!$F$78/12</f>
        <v>16630768.124999993</v>
      </c>
      <c r="C49" s="1">
        <f>Input!$F$79/12</f>
        <v>535880.30624999979</v>
      </c>
      <c r="D49" s="2">
        <f>SUM(B49:C49)</f>
        <v>17166648.431249991</v>
      </c>
      <c r="E49" s="1">
        <f>Input!$F$82/12</f>
        <v>-8101393.2103124978</v>
      </c>
      <c r="F49" s="1">
        <f>Input!$F$83/12</f>
        <v>-267940.1531249999</v>
      </c>
      <c r="G49" s="2">
        <f>SUM(E49:F49)</f>
        <v>-8369333.363437498</v>
      </c>
      <c r="H49" s="1">
        <f>Input!$F$110/12</f>
        <v>-440404.87560416647</v>
      </c>
      <c r="I49" s="1">
        <f>Input!$F$111/12</f>
        <v>-200334.54867708325</v>
      </c>
      <c r="J49" s="10">
        <f t="shared" si="0"/>
        <v>-640739.42428124975</v>
      </c>
      <c r="K49" s="10">
        <f>IF(ISERROR(HLOOKUP(CFs!A49,Input!$C$115:$L$117,2,FALSE)),0,HLOOKUP(CFs!A49,Input!$C$115:$L$117,2,FALSE))</f>
        <v>0</v>
      </c>
      <c r="L49" s="10">
        <f>IF(ISERROR(HLOOKUP(CFs!A49,Input!$C$115:$L$117,3,FALSE)),0,HLOOKUP(CFs!A49,Input!$C$115:$L$117,3,FALSE))</f>
        <v>0</v>
      </c>
      <c r="M49" s="10">
        <f>IF(ISERROR(HLOOKUP(CFs!$A49,Input!$C$119:$L$120,2,FALSE)),0,HLOOKUP(CFs!$A49,Input!$C$119:$L$120,2,FALSE))</f>
        <v>0</v>
      </c>
      <c r="N49" s="10">
        <f>IF(ISERROR(HLOOKUP(CFs!$A49,Input!$C$123:$L$124,2,FALSE)),0,HLOOKUP(CFs!$A49,Input!$C$123:$L$124,2,FALSE))</f>
        <v>0</v>
      </c>
      <c r="O49" s="10">
        <f>IF(ISERROR(HLOOKUP(CFs!$A49,Input!$C$125:$L$126,2,FALSE)),0,HLOOKUP(CFs!$A49,Input!$C$125:$L$126,2,FALSE))</f>
        <v>0</v>
      </c>
      <c r="P49" s="10">
        <f>IF(ISERROR(HLOOKUP(CFs!$A49,Input!$C$129:$L$130,2,FALSE)),0,HLOOKUP(CFs!$A49,Input!$C$129:$L$130,2,FALSE))</f>
        <v>0</v>
      </c>
      <c r="Q49" s="10">
        <f>IF(ISERROR(HLOOKUP(CFs!$A49,Input!$C$131:$L$132,2,FALSE)),0,HLOOKUP(CFs!$A49,Input!$C$131:$L$132,2,FALSE))</f>
        <v>0</v>
      </c>
      <c r="R49" s="10">
        <f>IF(ISERROR(HLOOKUP(CFs!$A49,Input!$C$135:$L$136,2,FALSE)),0,HLOOKUP(CFs!$A49,Input!$C$135:$L$136,2,FALSE))</f>
        <v>0</v>
      </c>
      <c r="S49" s="10">
        <f>IF(ISERROR(HLOOKUP(CFs!$A49,Input!$C$137:$L$138,2,FALSE)),0,HLOOKUP(CFs!$A49,Input!$C$137:$L$138,2,FALSE))</f>
        <v>0</v>
      </c>
      <c r="T49" s="10">
        <f>IF(ISERROR(HLOOKUP(CFs!$A49,Input!$C$139:$L$140,2,FALSE)),0,HLOOKUP(CFs!$A49,Input!$C$139:$L$140,2,FALSE))</f>
        <v>0</v>
      </c>
      <c r="U49" s="10">
        <f>IF(ISERROR(HLOOKUP(CFs!$A49,Input!$C$141:$L$142,2,FALSE)),0,HLOOKUP(CFs!$A49,Input!$C$141:$L$142,2,FALSE))</f>
        <v>0</v>
      </c>
      <c r="V49" s="10">
        <f>IF(ISERROR(HLOOKUP(CFs!$A49,Input!$C$143:$L$144,2,FALSE)),0,HLOOKUP(CFs!$A49,Input!$C$143:$L$144,2,FALSE))</f>
        <v>0</v>
      </c>
      <c r="W49" s="10">
        <f>IF(ISERROR(HLOOKUP(CFs!$A49,Input!$C$145:$L$146,2,FALSE)),0,HLOOKUP(CFs!$A49,Input!$C$145:$L$146,2,FALSE))</f>
        <v>0</v>
      </c>
      <c r="X49" s="10">
        <f>IF(ISERROR(HLOOKUP(CFs!$A49,Input!$C$147:$L$148,2,FALSE)),0,HLOOKUP(CFs!$A49,Input!$C$147:$L$148,2,FALSE))</f>
        <v>0</v>
      </c>
      <c r="Y49" s="13">
        <f t="shared" si="2"/>
        <v>0</v>
      </c>
      <c r="Z49" s="10">
        <f>IF(ISERROR(HLOOKUP(CFs!$A49,Input!$C$152:$L$153,2,FALSE)),0,HLOOKUP(CFs!$A49,Input!$C$152:$L$153,2,FALSE))</f>
        <v>0</v>
      </c>
      <c r="AA49" s="10">
        <f>IF(ISERROR(HLOOKUP(CFs!$A49,Input!$C$149:$L$150,2,FALSE)),0,HLOOKUP(CFs!$A49,Input!$C$149:$L$150,2,FALSE))</f>
        <v>0</v>
      </c>
      <c r="AB49" s="10">
        <f>IF(ISERROR(HLOOKUP(CFs!$A49,Input!$C$151:$L$154,2,FALSE)),0,HLOOKUP(CFs!$A49,Input!$C$151:$L$154,2,FALSE))</f>
        <v>0</v>
      </c>
      <c r="AC49">
        <f t="shared" si="1"/>
        <v>0</v>
      </c>
      <c r="AD49" s="1" cm="1">
        <f t="array" ref="AD49">FirmaCashflow(Input!$C$165,Input!$C$166,Input!$C$163,Input!$D$163,CFs!A49)</f>
        <v>0</v>
      </c>
      <c r="AE49" s="2">
        <f>D49+G49+J49+Y49+AC49+AD49</f>
        <v>8156575.6435312433</v>
      </c>
      <c r="AF49" s="2">
        <f t="shared" si="3"/>
        <v>76318531.268697813</v>
      </c>
    </row>
    <row r="50" spans="1:32" x14ac:dyDescent="0.25">
      <c r="A50">
        <v>48</v>
      </c>
      <c r="B50" s="1">
        <f>Input!$F$78/12</f>
        <v>16630768.124999993</v>
      </c>
      <c r="C50" s="1">
        <f>Input!$F$79/12</f>
        <v>535880.30624999979</v>
      </c>
      <c r="D50" s="2">
        <f>SUM(B50:C50)</f>
        <v>17166648.431249991</v>
      </c>
      <c r="E50" s="1">
        <f>Input!$F$82/12</f>
        <v>-8101393.2103124978</v>
      </c>
      <c r="F50" s="1">
        <f>Input!$F$83/12</f>
        <v>-267940.1531249999</v>
      </c>
      <c r="G50" s="2">
        <f>SUM(E50:F50)</f>
        <v>-8369333.363437498</v>
      </c>
      <c r="H50" s="1">
        <f>Input!$F$110/12</f>
        <v>-440404.87560416647</v>
      </c>
      <c r="I50" s="1">
        <f>Input!$F$111/12</f>
        <v>-200334.54867708325</v>
      </c>
      <c r="J50" s="10">
        <f t="shared" si="0"/>
        <v>-640739.42428124975</v>
      </c>
      <c r="K50" s="10">
        <f>IF(ISERROR(HLOOKUP(CFs!A50,Input!$C$115:$L$117,2,FALSE)),0,HLOOKUP(CFs!A50,Input!$C$115:$L$117,2,FALSE))</f>
        <v>0</v>
      </c>
      <c r="L50" s="10">
        <f>IF(ISERROR(HLOOKUP(CFs!A50,Input!$C$115:$L$117,3,FALSE)),0,HLOOKUP(CFs!A50,Input!$C$115:$L$117,3,FALSE))</f>
        <v>0</v>
      </c>
      <c r="M50" s="10">
        <f>IF(ISERROR(HLOOKUP(CFs!$A50,Input!$C$119:$L$120,2,FALSE)),0,HLOOKUP(CFs!$A50,Input!$C$119:$L$120,2,FALSE))</f>
        <v>0</v>
      </c>
      <c r="N50" s="10">
        <f>IF(ISERROR(HLOOKUP(CFs!$A50,Input!$C$123:$L$124,2,FALSE)),0,HLOOKUP(CFs!$A50,Input!$C$123:$L$124,2,FALSE))</f>
        <v>0</v>
      </c>
      <c r="O50" s="10">
        <f>IF(ISERROR(HLOOKUP(CFs!$A50,Input!$C$125:$L$126,2,FALSE)),0,HLOOKUP(CFs!$A50,Input!$C$125:$L$126,2,FALSE))</f>
        <v>0</v>
      </c>
      <c r="P50" s="10">
        <f>IF(ISERROR(HLOOKUP(CFs!$A50,Input!$C$129:$L$130,2,FALSE)),0,HLOOKUP(CFs!$A50,Input!$C$129:$L$130,2,FALSE))</f>
        <v>0</v>
      </c>
      <c r="Q50" s="10">
        <f>IF(ISERROR(HLOOKUP(CFs!$A50,Input!$C$131:$L$132,2,FALSE)),0,HLOOKUP(CFs!$A50,Input!$C$131:$L$132,2,FALSE))</f>
        <v>0</v>
      </c>
      <c r="R50" s="10">
        <f>IF(ISERROR(HLOOKUP(CFs!$A50,Input!$C$135:$L$136,2,FALSE)),0,HLOOKUP(CFs!$A50,Input!$C$135:$L$136,2,FALSE))</f>
        <v>0</v>
      </c>
      <c r="S50" s="10">
        <f>IF(ISERROR(HLOOKUP(CFs!$A50,Input!$C$137:$L$138,2,FALSE)),0,HLOOKUP(CFs!$A50,Input!$C$137:$L$138,2,FALSE))</f>
        <v>0</v>
      </c>
      <c r="T50" s="10">
        <f>IF(ISERROR(HLOOKUP(CFs!$A50,Input!$C$139:$L$140,2,FALSE)),0,HLOOKUP(CFs!$A50,Input!$C$139:$L$140,2,FALSE))</f>
        <v>0</v>
      </c>
      <c r="U50" s="10">
        <f>IF(ISERROR(HLOOKUP(CFs!$A50,Input!$C$141:$L$142,2,FALSE)),0,HLOOKUP(CFs!$A50,Input!$C$141:$L$142,2,FALSE))</f>
        <v>0</v>
      </c>
      <c r="V50" s="10">
        <f>IF(ISERROR(HLOOKUP(CFs!$A50,Input!$C$143:$L$144,2,FALSE)),0,HLOOKUP(CFs!$A50,Input!$C$143:$L$144,2,FALSE))</f>
        <v>0</v>
      </c>
      <c r="W50" s="10">
        <f>IF(ISERROR(HLOOKUP(CFs!$A50,Input!$C$145:$L$146,2,FALSE)),0,HLOOKUP(CFs!$A50,Input!$C$145:$L$146,2,FALSE))</f>
        <v>0</v>
      </c>
      <c r="X50" s="10">
        <f>IF(ISERROR(HLOOKUP(CFs!$A50,Input!$C$147:$L$148,2,FALSE)),0,HLOOKUP(CFs!$A50,Input!$C$147:$L$148,2,FALSE))</f>
        <v>0</v>
      </c>
      <c r="Y50" s="13">
        <f t="shared" si="2"/>
        <v>0</v>
      </c>
      <c r="Z50" s="10">
        <f>IF(ISERROR(HLOOKUP(CFs!$A50,Input!$C$152:$L$153,2,FALSE)),0,HLOOKUP(CFs!$A50,Input!$C$152:$L$153,2,FALSE))</f>
        <v>0</v>
      </c>
      <c r="AA50" s="10">
        <f>IF(ISERROR(HLOOKUP(CFs!$A50,Input!$C$149:$L$150,2,FALSE)),0,HLOOKUP(CFs!$A50,Input!$C$149:$L$150,2,FALSE))</f>
        <v>0</v>
      </c>
      <c r="AB50" s="10">
        <f>IF(ISERROR(HLOOKUP(CFs!$A50,Input!$C$151:$L$154,2,FALSE)),0,HLOOKUP(CFs!$A50,Input!$C$151:$L$154,2,FALSE))</f>
        <v>0</v>
      </c>
      <c r="AC50">
        <f t="shared" si="1"/>
        <v>0</v>
      </c>
      <c r="AD50" s="1" cm="1">
        <f t="array" ref="AD50">FirmaCashflow(Input!$C$165,Input!$C$166,Input!$C$163,Input!$D$163,CFs!A50)</f>
        <v>0</v>
      </c>
      <c r="AE50" s="2">
        <f>D50+G50+J50+Y50+AC50+AD50</f>
        <v>8156575.6435312433</v>
      </c>
      <c r="AF50" s="2">
        <f t="shared" si="3"/>
        <v>84475106.912229061</v>
      </c>
    </row>
    <row r="51" spans="1:32" x14ac:dyDescent="0.25">
      <c r="A51">
        <v>49</v>
      </c>
      <c r="B51" s="1">
        <f>Input!$G$78/12</f>
        <v>22617844.649999991</v>
      </c>
      <c r="C51" s="1">
        <f>Input!$G$79/12</f>
        <v>546597.91237499984</v>
      </c>
      <c r="D51" s="2">
        <f>SUM(B51:C51)</f>
        <v>23164442.56237499</v>
      </c>
      <c r="E51" s="1">
        <f>Input!$G$82/12</f>
        <v>-10963885.477956247</v>
      </c>
      <c r="F51" s="1">
        <f>Input!$G$83/12</f>
        <v>-273298.95618749992</v>
      </c>
      <c r="G51" s="2">
        <f>SUM(E51:F51)</f>
        <v>-11237184.434143746</v>
      </c>
      <c r="H51" s="1">
        <f>Input!$G$110/12</f>
        <v>-447010.94873822894</v>
      </c>
      <c r="I51" s="1">
        <f>Input!$G$111/12</f>
        <v>-203339.56690723947</v>
      </c>
      <c r="J51" s="10">
        <f t="shared" si="0"/>
        <v>-650350.51564546837</v>
      </c>
      <c r="K51" s="10">
        <f>IF(ISERROR(HLOOKUP(CFs!A51,Input!$C$115:$L$117,2,FALSE)),0,HLOOKUP(CFs!A51,Input!$C$115:$L$117,2,FALSE))</f>
        <v>-245174.98019437486</v>
      </c>
      <c r="L51" s="10">
        <f>IF(ISERROR(HLOOKUP(CFs!A51,Input!$C$115:$L$117,3,FALSE)),0,HLOOKUP(CFs!A51,Input!$C$115:$L$117,3,FALSE))</f>
        <v>-140630.67045781243</v>
      </c>
      <c r="M51" s="10">
        <f>IF(ISERROR(HLOOKUP(CFs!$A51,Input!$C$119:$L$120,2,FALSE)),0,HLOOKUP(CFs!$A51,Input!$C$119:$L$120,2,FALSE))</f>
        <v>0</v>
      </c>
      <c r="N51" s="10">
        <f>IF(ISERROR(HLOOKUP(CFs!$A51,Input!$C$123:$L$124,2,FALSE)),0,HLOOKUP(CFs!$A51,Input!$C$123:$L$124,2,FALSE))</f>
        <v>-103022.49999999997</v>
      </c>
      <c r="O51" s="10">
        <f>IF(ISERROR(HLOOKUP(CFs!$A51,Input!$C$125:$L$126,2,FALSE)),0,HLOOKUP(CFs!$A51,Input!$C$125:$L$126,2,FALSE))</f>
        <v>-515112.49999999988</v>
      </c>
      <c r="P51" s="10">
        <f>IF(ISERROR(HLOOKUP(CFs!$A51,Input!$C$129:$L$130,2,FALSE)),0,HLOOKUP(CFs!$A51,Input!$C$129:$L$130,2,FALSE))</f>
        <v>0</v>
      </c>
      <c r="Q51" s="10">
        <f>IF(ISERROR(HLOOKUP(CFs!$A51,Input!$C$131:$L$132,2,FALSE)),0,HLOOKUP(CFs!$A51,Input!$C$131:$L$132,2,FALSE))</f>
        <v>0</v>
      </c>
      <c r="R51" s="10">
        <f>IF(ISERROR(HLOOKUP(CFs!$A51,Input!$C$135:$L$136,2,FALSE)),0,HLOOKUP(CFs!$A51,Input!$C$135:$L$136,2,FALSE))</f>
        <v>0</v>
      </c>
      <c r="S51" s="10">
        <f>IF(ISERROR(HLOOKUP(CFs!$A51,Input!$C$137:$L$138,2,FALSE)),0,HLOOKUP(CFs!$A51,Input!$C$137:$L$138,2,FALSE))</f>
        <v>0</v>
      </c>
      <c r="T51" s="10">
        <f>IF(ISERROR(HLOOKUP(CFs!$A51,Input!$C$139:$L$140,2,FALSE)),0,HLOOKUP(CFs!$A51,Input!$C$139:$L$140,2,FALSE))</f>
        <v>0</v>
      </c>
      <c r="U51" s="10">
        <f>IF(ISERROR(HLOOKUP(CFs!$A51,Input!$C$141:$L$142,2,FALSE)),0,HLOOKUP(CFs!$A51,Input!$C$141:$L$142,2,FALSE))</f>
        <v>0</v>
      </c>
      <c r="V51" s="10">
        <f>IF(ISERROR(HLOOKUP(CFs!$A51,Input!$C$143:$L$144,2,FALSE)),0,HLOOKUP(CFs!$A51,Input!$C$143:$L$144,2,FALSE))</f>
        <v>0</v>
      </c>
      <c r="W51" s="10">
        <f>IF(ISERROR(HLOOKUP(CFs!$A51,Input!$C$145:$L$146,2,FALSE)),0,HLOOKUP(CFs!$A51,Input!$C$145:$L$146,2,FALSE))</f>
        <v>0</v>
      </c>
      <c r="X51" s="10">
        <f>IF(ISERROR(HLOOKUP(CFs!$A51,Input!$C$147:$L$148,2,FALSE)),0,HLOOKUP(CFs!$A51,Input!$C$147:$L$148,2,FALSE))</f>
        <v>0</v>
      </c>
      <c r="Y51" s="13">
        <f t="shared" si="2"/>
        <v>-1003940.6506521872</v>
      </c>
      <c r="Z51" s="10">
        <f>IF(ISERROR(HLOOKUP(CFs!$A51,Input!$C$152:$L$153,2,FALSE)),0,HLOOKUP(CFs!$A51,Input!$C$152:$L$153,2,FALSE))</f>
        <v>0</v>
      </c>
      <c r="AA51" s="10">
        <f>IF(ISERROR(HLOOKUP(CFs!$A51,Input!$C$149:$L$150,2,FALSE)),0,HLOOKUP(CFs!$A51,Input!$C$149:$L$150,2,FALSE))</f>
        <v>0</v>
      </c>
      <c r="AB51" s="10">
        <f>IF(ISERROR(HLOOKUP(CFs!$A51,Input!$C$151:$L$154,2,FALSE)),0,HLOOKUP(CFs!$A51,Input!$C$151:$L$154,2,FALSE))</f>
        <v>0</v>
      </c>
      <c r="AC51">
        <f t="shared" si="1"/>
        <v>0</v>
      </c>
      <c r="AD51" s="1" cm="1">
        <f t="array" ref="AD51">FirmaCashflow(Input!$C$165,Input!$C$166,Input!$C$163,Input!$D$163,CFs!A51)</f>
        <v>0</v>
      </c>
      <c r="AE51" s="2">
        <f>D51+G51+J51+Y51+AC51+AD51</f>
        <v>10272966.961933589</v>
      </c>
      <c r="AF51" s="2">
        <f t="shared" si="3"/>
        <v>94748073.874162644</v>
      </c>
    </row>
    <row r="52" spans="1:32" x14ac:dyDescent="0.25">
      <c r="A52">
        <v>50</v>
      </c>
      <c r="B52" s="1">
        <f>Input!$G$78/12</f>
        <v>22617844.649999991</v>
      </c>
      <c r="C52" s="1">
        <f>Input!$G$79/12</f>
        <v>546597.91237499984</v>
      </c>
      <c r="D52" s="2">
        <f>SUM(B52:C52)</f>
        <v>23164442.56237499</v>
      </c>
      <c r="E52" s="1">
        <f>Input!$G$82/12</f>
        <v>-10963885.477956247</v>
      </c>
      <c r="F52" s="1">
        <f>Input!$G$83/12</f>
        <v>-273298.95618749992</v>
      </c>
      <c r="G52" s="2">
        <f>SUM(E52:F52)</f>
        <v>-11237184.434143746</v>
      </c>
      <c r="H52" s="1">
        <f>Input!$G$110/12</f>
        <v>-447010.94873822894</v>
      </c>
      <c r="I52" s="1">
        <f>Input!$G$111/12</f>
        <v>-203339.56690723947</v>
      </c>
      <c r="J52" s="10">
        <f t="shared" si="0"/>
        <v>-650350.51564546837</v>
      </c>
      <c r="K52" s="10">
        <f>IF(ISERROR(HLOOKUP(CFs!A52,Input!$C$115:$L$117,2,FALSE)),0,HLOOKUP(CFs!A52,Input!$C$115:$L$117,2,FALSE))</f>
        <v>0</v>
      </c>
      <c r="L52" s="10">
        <f>IF(ISERROR(HLOOKUP(CFs!A52,Input!$C$115:$L$117,3,FALSE)),0,HLOOKUP(CFs!A52,Input!$C$115:$L$117,3,FALSE))</f>
        <v>0</v>
      </c>
      <c r="M52" s="10">
        <f>IF(ISERROR(HLOOKUP(CFs!$A52,Input!$C$119:$L$120,2,FALSE)),0,HLOOKUP(CFs!$A52,Input!$C$119:$L$120,2,FALSE))</f>
        <v>0</v>
      </c>
      <c r="N52" s="10">
        <f>IF(ISERROR(HLOOKUP(CFs!$A52,Input!$C$123:$L$124,2,FALSE)),0,HLOOKUP(CFs!$A52,Input!$C$123:$L$124,2,FALSE))</f>
        <v>0</v>
      </c>
      <c r="O52" s="10">
        <f>IF(ISERROR(HLOOKUP(CFs!$A52,Input!$C$125:$L$126,2,FALSE)),0,HLOOKUP(CFs!$A52,Input!$C$125:$L$126,2,FALSE))</f>
        <v>0</v>
      </c>
      <c r="P52" s="10">
        <f>IF(ISERROR(HLOOKUP(CFs!$A52,Input!$C$129:$L$130,2,FALSE)),0,HLOOKUP(CFs!$A52,Input!$C$129:$L$130,2,FALSE))</f>
        <v>0</v>
      </c>
      <c r="Q52" s="10">
        <f>IF(ISERROR(HLOOKUP(CFs!$A52,Input!$C$131:$L$132,2,FALSE)),0,HLOOKUP(CFs!$A52,Input!$C$131:$L$132,2,FALSE))</f>
        <v>0</v>
      </c>
      <c r="R52" s="10">
        <f>IF(ISERROR(HLOOKUP(CFs!$A52,Input!$C$135:$L$136,2,FALSE)),0,HLOOKUP(CFs!$A52,Input!$C$135:$L$136,2,FALSE))</f>
        <v>0</v>
      </c>
      <c r="S52" s="10">
        <f>IF(ISERROR(HLOOKUP(CFs!$A52,Input!$C$137:$L$138,2,FALSE)),0,HLOOKUP(CFs!$A52,Input!$C$137:$L$138,2,FALSE))</f>
        <v>0</v>
      </c>
      <c r="T52" s="10">
        <f>IF(ISERROR(HLOOKUP(CFs!$A52,Input!$C$139:$L$140,2,FALSE)),0,HLOOKUP(CFs!$A52,Input!$C$139:$L$140,2,FALSE))</f>
        <v>0</v>
      </c>
      <c r="U52" s="10">
        <f>IF(ISERROR(HLOOKUP(CFs!$A52,Input!$C$141:$L$142,2,FALSE)),0,HLOOKUP(CFs!$A52,Input!$C$141:$L$142,2,FALSE))</f>
        <v>0</v>
      </c>
      <c r="V52" s="10">
        <f>IF(ISERROR(HLOOKUP(CFs!$A52,Input!$C$143:$L$144,2,FALSE)),0,HLOOKUP(CFs!$A52,Input!$C$143:$L$144,2,FALSE))</f>
        <v>0</v>
      </c>
      <c r="W52" s="10">
        <f>IF(ISERROR(HLOOKUP(CFs!$A52,Input!$C$145:$L$146,2,FALSE)),0,HLOOKUP(CFs!$A52,Input!$C$145:$L$146,2,FALSE))</f>
        <v>0</v>
      </c>
      <c r="X52" s="10">
        <f>IF(ISERROR(HLOOKUP(CFs!$A52,Input!$C$147:$L$148,2,FALSE)),0,HLOOKUP(CFs!$A52,Input!$C$147:$L$148,2,FALSE))</f>
        <v>0</v>
      </c>
      <c r="Y52" s="13">
        <f t="shared" si="2"/>
        <v>0</v>
      </c>
      <c r="Z52" s="10">
        <f>IF(ISERROR(HLOOKUP(CFs!$A52,Input!$C$152:$L$153,2,FALSE)),0,HLOOKUP(CFs!$A52,Input!$C$152:$L$153,2,FALSE))</f>
        <v>0</v>
      </c>
      <c r="AA52" s="10">
        <f>IF(ISERROR(HLOOKUP(CFs!$A52,Input!$C$149:$L$150,2,FALSE)),0,HLOOKUP(CFs!$A52,Input!$C$149:$L$150,2,FALSE))</f>
        <v>0</v>
      </c>
      <c r="AB52" s="10">
        <f>IF(ISERROR(HLOOKUP(CFs!$A52,Input!$C$151:$L$154,2,FALSE)),0,HLOOKUP(CFs!$A52,Input!$C$151:$L$154,2,FALSE))</f>
        <v>0</v>
      </c>
      <c r="AC52">
        <f t="shared" si="1"/>
        <v>0</v>
      </c>
      <c r="AD52" s="1" cm="1">
        <f t="array" ref="AD52">FirmaCashflow(Input!$C$165,Input!$C$166,Input!$C$163,Input!$D$163,CFs!A52)</f>
        <v>0</v>
      </c>
      <c r="AE52" s="2">
        <f>D52+G52+J52+Y52+AC52+AD52</f>
        <v>11276907.612585776</v>
      </c>
      <c r="AF52" s="2">
        <f t="shared" si="3"/>
        <v>106024981.48674843</v>
      </c>
    </row>
    <row r="53" spans="1:32" x14ac:dyDescent="0.25">
      <c r="A53">
        <v>51</v>
      </c>
      <c r="B53" s="1">
        <f>Input!$G$78/12</f>
        <v>22617844.649999991</v>
      </c>
      <c r="C53" s="1">
        <f>Input!$G$79/12</f>
        <v>546597.91237499984</v>
      </c>
      <c r="D53" s="2">
        <f>SUM(B53:C53)</f>
        <v>23164442.56237499</v>
      </c>
      <c r="E53" s="1">
        <f>Input!$G$82/12</f>
        <v>-10963885.477956247</v>
      </c>
      <c r="F53" s="1">
        <f>Input!$G$83/12</f>
        <v>-273298.95618749992</v>
      </c>
      <c r="G53" s="2">
        <f>SUM(E53:F53)</f>
        <v>-11237184.434143746</v>
      </c>
      <c r="H53" s="1">
        <f>Input!$G$110/12</f>
        <v>-447010.94873822894</v>
      </c>
      <c r="I53" s="1">
        <f>Input!$G$111/12</f>
        <v>-203339.56690723947</v>
      </c>
      <c r="J53" s="10">
        <f t="shared" si="0"/>
        <v>-650350.51564546837</v>
      </c>
      <c r="K53" s="10">
        <f>IF(ISERROR(HLOOKUP(CFs!A53,Input!$C$115:$L$117,2,FALSE)),0,HLOOKUP(CFs!A53,Input!$C$115:$L$117,2,FALSE))</f>
        <v>0</v>
      </c>
      <c r="L53" s="10">
        <f>IF(ISERROR(HLOOKUP(CFs!A53,Input!$C$115:$L$117,3,FALSE)),0,HLOOKUP(CFs!A53,Input!$C$115:$L$117,3,FALSE))</f>
        <v>0</v>
      </c>
      <c r="M53" s="10">
        <f>IF(ISERROR(HLOOKUP(CFs!$A53,Input!$C$119:$L$120,2,FALSE)),0,HLOOKUP(CFs!$A53,Input!$C$119:$L$120,2,FALSE))</f>
        <v>0</v>
      </c>
      <c r="N53" s="10">
        <f>IF(ISERROR(HLOOKUP(CFs!$A53,Input!$C$123:$L$124,2,FALSE)),0,HLOOKUP(CFs!$A53,Input!$C$123:$L$124,2,FALSE))</f>
        <v>0</v>
      </c>
      <c r="O53" s="10">
        <f>IF(ISERROR(HLOOKUP(CFs!$A53,Input!$C$125:$L$126,2,FALSE)),0,HLOOKUP(CFs!$A53,Input!$C$125:$L$126,2,FALSE))</f>
        <v>0</v>
      </c>
      <c r="P53" s="10">
        <f>IF(ISERROR(HLOOKUP(CFs!$A53,Input!$C$129:$L$130,2,FALSE)),0,HLOOKUP(CFs!$A53,Input!$C$129:$L$130,2,FALSE))</f>
        <v>0</v>
      </c>
      <c r="Q53" s="10">
        <f>IF(ISERROR(HLOOKUP(CFs!$A53,Input!$C$131:$L$132,2,FALSE)),0,HLOOKUP(CFs!$A53,Input!$C$131:$L$132,2,FALSE))</f>
        <v>0</v>
      </c>
      <c r="R53" s="10">
        <f>IF(ISERROR(HLOOKUP(CFs!$A53,Input!$C$135:$L$136,2,FALSE)),0,HLOOKUP(CFs!$A53,Input!$C$135:$L$136,2,FALSE))</f>
        <v>0</v>
      </c>
      <c r="S53" s="10">
        <f>IF(ISERROR(HLOOKUP(CFs!$A53,Input!$C$137:$L$138,2,FALSE)),0,HLOOKUP(CFs!$A53,Input!$C$137:$L$138,2,FALSE))</f>
        <v>0</v>
      </c>
      <c r="T53" s="10">
        <f>IF(ISERROR(HLOOKUP(CFs!$A53,Input!$C$139:$L$140,2,FALSE)),0,HLOOKUP(CFs!$A53,Input!$C$139:$L$140,2,FALSE))</f>
        <v>0</v>
      </c>
      <c r="U53" s="10">
        <f>IF(ISERROR(HLOOKUP(CFs!$A53,Input!$C$141:$L$142,2,FALSE)),0,HLOOKUP(CFs!$A53,Input!$C$141:$L$142,2,FALSE))</f>
        <v>0</v>
      </c>
      <c r="V53" s="10">
        <f>IF(ISERROR(HLOOKUP(CFs!$A53,Input!$C$143:$L$144,2,FALSE)),0,HLOOKUP(CFs!$A53,Input!$C$143:$L$144,2,FALSE))</f>
        <v>0</v>
      </c>
      <c r="W53" s="10">
        <f>IF(ISERROR(HLOOKUP(CFs!$A53,Input!$C$145:$L$146,2,FALSE)),0,HLOOKUP(CFs!$A53,Input!$C$145:$L$146,2,FALSE))</f>
        <v>0</v>
      </c>
      <c r="X53" s="10">
        <f>IF(ISERROR(HLOOKUP(CFs!$A53,Input!$C$147:$L$148,2,FALSE)),0,HLOOKUP(CFs!$A53,Input!$C$147:$L$148,2,FALSE))</f>
        <v>0</v>
      </c>
      <c r="Y53" s="13">
        <f t="shared" si="2"/>
        <v>0</v>
      </c>
      <c r="Z53" s="10">
        <f>IF(ISERROR(HLOOKUP(CFs!$A53,Input!$C$152:$L$153,2,FALSE)),0,HLOOKUP(CFs!$A53,Input!$C$152:$L$153,2,FALSE))</f>
        <v>0</v>
      </c>
      <c r="AA53" s="10">
        <f>IF(ISERROR(HLOOKUP(CFs!$A53,Input!$C$149:$L$150,2,FALSE)),0,HLOOKUP(CFs!$A53,Input!$C$149:$L$150,2,FALSE))</f>
        <v>0</v>
      </c>
      <c r="AB53" s="10">
        <f>IF(ISERROR(HLOOKUP(CFs!$A53,Input!$C$151:$L$154,2,FALSE)),0,HLOOKUP(CFs!$A53,Input!$C$151:$L$154,2,FALSE))</f>
        <v>0</v>
      </c>
      <c r="AC53">
        <f t="shared" si="1"/>
        <v>0</v>
      </c>
      <c r="AD53" s="1" cm="1">
        <f t="array" ref="AD53">FirmaCashflow(Input!$C$165,Input!$C$166,Input!$C$163,Input!$D$163,CFs!A53)</f>
        <v>0</v>
      </c>
      <c r="AE53" s="2">
        <f>D53+G53+J53+Y53+AC53+AD53</f>
        <v>11276907.612585776</v>
      </c>
      <c r="AF53" s="2">
        <f t="shared" si="3"/>
        <v>117301889.09933421</v>
      </c>
    </row>
    <row r="54" spans="1:32" x14ac:dyDescent="0.25">
      <c r="A54">
        <v>52</v>
      </c>
      <c r="B54" s="1">
        <f>Input!$G$78/12</f>
        <v>22617844.649999991</v>
      </c>
      <c r="C54" s="1">
        <f>Input!$G$79/12</f>
        <v>546597.91237499984</v>
      </c>
      <c r="D54" s="2">
        <f>SUM(B54:C54)</f>
        <v>23164442.56237499</v>
      </c>
      <c r="E54" s="1">
        <f>Input!$G$82/12</f>
        <v>-10963885.477956247</v>
      </c>
      <c r="F54" s="1">
        <f>Input!$G$83/12</f>
        <v>-273298.95618749992</v>
      </c>
      <c r="G54" s="2">
        <f>SUM(E54:F54)</f>
        <v>-11237184.434143746</v>
      </c>
      <c r="H54" s="1">
        <f>Input!$G$110/12</f>
        <v>-447010.94873822894</v>
      </c>
      <c r="I54" s="1">
        <f>Input!$G$111/12</f>
        <v>-203339.56690723947</v>
      </c>
      <c r="J54" s="10">
        <f t="shared" si="0"/>
        <v>-650350.51564546837</v>
      </c>
      <c r="K54" s="10">
        <f>IF(ISERROR(HLOOKUP(CFs!A54,Input!$C$115:$L$117,2,FALSE)),0,HLOOKUP(CFs!A54,Input!$C$115:$L$117,2,FALSE))</f>
        <v>0</v>
      </c>
      <c r="L54" s="10">
        <f>IF(ISERROR(HLOOKUP(CFs!A54,Input!$C$115:$L$117,3,FALSE)),0,HLOOKUP(CFs!A54,Input!$C$115:$L$117,3,FALSE))</f>
        <v>0</v>
      </c>
      <c r="M54" s="10">
        <f>IF(ISERROR(HLOOKUP(CFs!$A54,Input!$C$119:$L$120,2,FALSE)),0,HLOOKUP(CFs!$A54,Input!$C$119:$L$120,2,FALSE))</f>
        <v>0</v>
      </c>
      <c r="N54" s="10">
        <f>IF(ISERROR(HLOOKUP(CFs!$A54,Input!$C$123:$L$124,2,FALSE)),0,HLOOKUP(CFs!$A54,Input!$C$123:$L$124,2,FALSE))</f>
        <v>0</v>
      </c>
      <c r="O54" s="10">
        <f>IF(ISERROR(HLOOKUP(CFs!$A54,Input!$C$125:$L$126,2,FALSE)),0,HLOOKUP(CFs!$A54,Input!$C$125:$L$126,2,FALSE))</f>
        <v>0</v>
      </c>
      <c r="P54" s="10">
        <f>IF(ISERROR(HLOOKUP(CFs!$A54,Input!$C$129:$L$130,2,FALSE)),0,HLOOKUP(CFs!$A54,Input!$C$129:$L$130,2,FALSE))</f>
        <v>0</v>
      </c>
      <c r="Q54" s="10">
        <f>IF(ISERROR(HLOOKUP(CFs!$A54,Input!$C$131:$L$132,2,FALSE)),0,HLOOKUP(CFs!$A54,Input!$C$131:$L$132,2,FALSE))</f>
        <v>0</v>
      </c>
      <c r="R54" s="10">
        <f>IF(ISERROR(HLOOKUP(CFs!$A54,Input!$C$135:$L$136,2,FALSE)),0,HLOOKUP(CFs!$A54,Input!$C$135:$L$136,2,FALSE))</f>
        <v>0</v>
      </c>
      <c r="S54" s="10">
        <f>IF(ISERROR(HLOOKUP(CFs!$A54,Input!$C$137:$L$138,2,FALSE)),0,HLOOKUP(CFs!$A54,Input!$C$137:$L$138,2,FALSE))</f>
        <v>0</v>
      </c>
      <c r="T54" s="10">
        <f>IF(ISERROR(HLOOKUP(CFs!$A54,Input!$C$139:$L$140,2,FALSE)),0,HLOOKUP(CFs!$A54,Input!$C$139:$L$140,2,FALSE))</f>
        <v>0</v>
      </c>
      <c r="U54" s="10">
        <f>IF(ISERROR(HLOOKUP(CFs!$A54,Input!$C$141:$L$142,2,FALSE)),0,HLOOKUP(CFs!$A54,Input!$C$141:$L$142,2,FALSE))</f>
        <v>0</v>
      </c>
      <c r="V54" s="10">
        <f>IF(ISERROR(HLOOKUP(CFs!$A54,Input!$C$143:$L$144,2,FALSE)),0,HLOOKUP(CFs!$A54,Input!$C$143:$L$144,2,FALSE))</f>
        <v>0</v>
      </c>
      <c r="W54" s="10">
        <f>IF(ISERROR(HLOOKUP(CFs!$A54,Input!$C$145:$L$146,2,FALSE)),0,HLOOKUP(CFs!$A54,Input!$C$145:$L$146,2,FALSE))</f>
        <v>0</v>
      </c>
      <c r="X54" s="10">
        <f>IF(ISERROR(HLOOKUP(CFs!$A54,Input!$C$147:$L$148,2,FALSE)),0,HLOOKUP(CFs!$A54,Input!$C$147:$L$148,2,FALSE))</f>
        <v>0</v>
      </c>
      <c r="Y54" s="13">
        <f t="shared" si="2"/>
        <v>0</v>
      </c>
      <c r="Z54" s="10">
        <f>IF(ISERROR(HLOOKUP(CFs!$A54,Input!$C$152:$L$153,2,FALSE)),0,HLOOKUP(CFs!$A54,Input!$C$152:$L$153,2,FALSE))</f>
        <v>0</v>
      </c>
      <c r="AA54" s="10">
        <f>IF(ISERROR(HLOOKUP(CFs!$A54,Input!$C$149:$L$150,2,FALSE)),0,HLOOKUP(CFs!$A54,Input!$C$149:$L$150,2,FALSE))</f>
        <v>0</v>
      </c>
      <c r="AB54" s="10">
        <f>IF(ISERROR(HLOOKUP(CFs!$A54,Input!$C$151:$L$154,2,FALSE)),0,HLOOKUP(CFs!$A54,Input!$C$151:$L$154,2,FALSE))</f>
        <v>0</v>
      </c>
      <c r="AC54">
        <f t="shared" si="1"/>
        <v>0</v>
      </c>
      <c r="AD54" s="1" cm="1">
        <f t="array" ref="AD54">FirmaCashflow(Input!$C$165,Input!$C$166,Input!$C$163,Input!$D$163,CFs!A54)</f>
        <v>0</v>
      </c>
      <c r="AE54" s="2">
        <f>D54+G54+J54+Y54+AC54+AD54</f>
        <v>11276907.612585776</v>
      </c>
      <c r="AF54" s="2">
        <f t="shared" si="3"/>
        <v>128578796.71191999</v>
      </c>
    </row>
    <row r="55" spans="1:32" x14ac:dyDescent="0.25">
      <c r="A55">
        <v>53</v>
      </c>
      <c r="B55" s="1">
        <f>Input!$G$78/12</f>
        <v>22617844.649999991</v>
      </c>
      <c r="C55" s="1">
        <f>Input!$G$79/12</f>
        <v>546597.91237499984</v>
      </c>
      <c r="D55" s="2">
        <f>SUM(B55:C55)</f>
        <v>23164442.56237499</v>
      </c>
      <c r="E55" s="1">
        <f>Input!$G$82/12</f>
        <v>-10963885.477956247</v>
      </c>
      <c r="F55" s="1">
        <f>Input!$G$83/12</f>
        <v>-273298.95618749992</v>
      </c>
      <c r="G55" s="2">
        <f>SUM(E55:F55)</f>
        <v>-11237184.434143746</v>
      </c>
      <c r="H55" s="1">
        <f>Input!$G$110/12</f>
        <v>-447010.94873822894</v>
      </c>
      <c r="I55" s="1">
        <f>Input!$G$111/12</f>
        <v>-203339.56690723947</v>
      </c>
      <c r="J55" s="10">
        <f t="shared" si="0"/>
        <v>-650350.51564546837</v>
      </c>
      <c r="K55" s="10">
        <f>IF(ISERROR(HLOOKUP(CFs!A55,Input!$C$115:$L$117,2,FALSE)),0,HLOOKUP(CFs!A55,Input!$C$115:$L$117,2,FALSE))</f>
        <v>0</v>
      </c>
      <c r="L55" s="10">
        <f>IF(ISERROR(HLOOKUP(CFs!A55,Input!$C$115:$L$117,3,FALSE)),0,HLOOKUP(CFs!A55,Input!$C$115:$L$117,3,FALSE))</f>
        <v>0</v>
      </c>
      <c r="M55" s="10">
        <f>IF(ISERROR(HLOOKUP(CFs!$A55,Input!$C$119:$L$120,2,FALSE)),0,HLOOKUP(CFs!$A55,Input!$C$119:$L$120,2,FALSE))</f>
        <v>0</v>
      </c>
      <c r="N55" s="10">
        <f>IF(ISERROR(HLOOKUP(CFs!$A55,Input!$C$123:$L$124,2,FALSE)),0,HLOOKUP(CFs!$A55,Input!$C$123:$L$124,2,FALSE))</f>
        <v>0</v>
      </c>
      <c r="O55" s="10">
        <f>IF(ISERROR(HLOOKUP(CFs!$A55,Input!$C$125:$L$126,2,FALSE)),0,HLOOKUP(CFs!$A55,Input!$C$125:$L$126,2,FALSE))</f>
        <v>0</v>
      </c>
      <c r="P55" s="10">
        <f>IF(ISERROR(HLOOKUP(CFs!$A55,Input!$C$129:$L$130,2,FALSE)),0,HLOOKUP(CFs!$A55,Input!$C$129:$L$130,2,FALSE))</f>
        <v>0</v>
      </c>
      <c r="Q55" s="10">
        <f>IF(ISERROR(HLOOKUP(CFs!$A55,Input!$C$131:$L$132,2,FALSE)),0,HLOOKUP(CFs!$A55,Input!$C$131:$L$132,2,FALSE))</f>
        <v>0</v>
      </c>
      <c r="R55" s="10">
        <f>IF(ISERROR(HLOOKUP(CFs!$A55,Input!$C$135:$L$136,2,FALSE)),0,HLOOKUP(CFs!$A55,Input!$C$135:$L$136,2,FALSE))</f>
        <v>0</v>
      </c>
      <c r="S55" s="10">
        <f>IF(ISERROR(HLOOKUP(CFs!$A55,Input!$C$137:$L$138,2,FALSE)),0,HLOOKUP(CFs!$A55,Input!$C$137:$L$138,2,FALSE))</f>
        <v>0</v>
      </c>
      <c r="T55" s="10">
        <f>IF(ISERROR(HLOOKUP(CFs!$A55,Input!$C$139:$L$140,2,FALSE)),0,HLOOKUP(CFs!$A55,Input!$C$139:$L$140,2,FALSE))</f>
        <v>0</v>
      </c>
      <c r="U55" s="10">
        <f>IF(ISERROR(HLOOKUP(CFs!$A55,Input!$C$141:$L$142,2,FALSE)),0,HLOOKUP(CFs!$A55,Input!$C$141:$L$142,2,FALSE))</f>
        <v>0</v>
      </c>
      <c r="V55" s="10">
        <f>IF(ISERROR(HLOOKUP(CFs!$A55,Input!$C$143:$L$144,2,FALSE)),0,HLOOKUP(CFs!$A55,Input!$C$143:$L$144,2,FALSE))</f>
        <v>0</v>
      </c>
      <c r="W55" s="10">
        <f>IF(ISERROR(HLOOKUP(CFs!$A55,Input!$C$145:$L$146,2,FALSE)),0,HLOOKUP(CFs!$A55,Input!$C$145:$L$146,2,FALSE))</f>
        <v>0</v>
      </c>
      <c r="X55" s="10">
        <f>IF(ISERROR(HLOOKUP(CFs!$A55,Input!$C$147:$L$148,2,FALSE)),0,HLOOKUP(CFs!$A55,Input!$C$147:$L$148,2,FALSE))</f>
        <v>0</v>
      </c>
      <c r="Y55" s="13">
        <f t="shared" si="2"/>
        <v>0</v>
      </c>
      <c r="Z55" s="10">
        <f>IF(ISERROR(HLOOKUP(CFs!$A55,Input!$C$152:$L$153,2,FALSE)),0,HLOOKUP(CFs!$A55,Input!$C$152:$L$153,2,FALSE))</f>
        <v>0</v>
      </c>
      <c r="AA55" s="10">
        <f>IF(ISERROR(HLOOKUP(CFs!$A55,Input!$C$149:$L$150,2,FALSE)),0,HLOOKUP(CFs!$A55,Input!$C$149:$L$150,2,FALSE))</f>
        <v>0</v>
      </c>
      <c r="AB55" s="10">
        <f>IF(ISERROR(HLOOKUP(CFs!$A55,Input!$C$151:$L$154,2,FALSE)),0,HLOOKUP(CFs!$A55,Input!$C$151:$L$154,2,FALSE))</f>
        <v>0</v>
      </c>
      <c r="AC55">
        <f t="shared" si="1"/>
        <v>0</v>
      </c>
      <c r="AD55" s="1" cm="1">
        <f t="array" ref="AD55">FirmaCashflow(Input!$C$165,Input!$C$166,Input!$C$163,Input!$D$163,CFs!A55)</f>
        <v>0</v>
      </c>
      <c r="AE55" s="2">
        <f>D55+G55+J55+Y55+AC55+AD55</f>
        <v>11276907.612585776</v>
      </c>
      <c r="AF55" s="2">
        <f t="shared" si="3"/>
        <v>139855704.32450578</v>
      </c>
    </row>
    <row r="56" spans="1:32" x14ac:dyDescent="0.25">
      <c r="A56">
        <v>54</v>
      </c>
      <c r="B56" s="1">
        <f>Input!$G$78/12</f>
        <v>22617844.649999991</v>
      </c>
      <c r="C56" s="1">
        <f>Input!$G$79/12</f>
        <v>546597.91237499984</v>
      </c>
      <c r="D56" s="2">
        <f>SUM(B56:C56)</f>
        <v>23164442.56237499</v>
      </c>
      <c r="E56" s="1">
        <f>Input!$G$82/12</f>
        <v>-10963885.477956247</v>
      </c>
      <c r="F56" s="1">
        <f>Input!$G$83/12</f>
        <v>-273298.95618749992</v>
      </c>
      <c r="G56" s="2">
        <f>SUM(E56:F56)</f>
        <v>-11237184.434143746</v>
      </c>
      <c r="H56" s="1">
        <f>Input!$G$110/12</f>
        <v>-447010.94873822894</v>
      </c>
      <c r="I56" s="1">
        <f>Input!$G$111/12</f>
        <v>-203339.56690723947</v>
      </c>
      <c r="J56" s="10">
        <f t="shared" si="0"/>
        <v>-650350.51564546837</v>
      </c>
      <c r="K56" s="10">
        <f>IF(ISERROR(HLOOKUP(CFs!A56,Input!$C$115:$L$117,2,FALSE)),0,HLOOKUP(CFs!A56,Input!$C$115:$L$117,2,FALSE))</f>
        <v>0</v>
      </c>
      <c r="L56" s="10">
        <f>IF(ISERROR(HLOOKUP(CFs!A56,Input!$C$115:$L$117,3,FALSE)),0,HLOOKUP(CFs!A56,Input!$C$115:$L$117,3,FALSE))</f>
        <v>0</v>
      </c>
      <c r="M56" s="10">
        <f>IF(ISERROR(HLOOKUP(CFs!$A56,Input!$C$119:$L$120,2,FALSE)),0,HLOOKUP(CFs!$A56,Input!$C$119:$L$120,2,FALSE))</f>
        <v>-618134.99999999988</v>
      </c>
      <c r="N56" s="10">
        <f>IF(ISERROR(HLOOKUP(CFs!$A56,Input!$C$123:$L$124,2,FALSE)),0,HLOOKUP(CFs!$A56,Input!$C$123:$L$124,2,FALSE))</f>
        <v>0</v>
      </c>
      <c r="O56" s="10">
        <f>IF(ISERROR(HLOOKUP(CFs!$A56,Input!$C$125:$L$126,2,FALSE)),0,HLOOKUP(CFs!$A56,Input!$C$125:$L$126,2,FALSE))</f>
        <v>0</v>
      </c>
      <c r="P56" s="10">
        <f>IF(ISERROR(HLOOKUP(CFs!$A56,Input!$C$129:$L$130,2,FALSE)),0,HLOOKUP(CFs!$A56,Input!$C$129:$L$130,2,FALSE))</f>
        <v>0</v>
      </c>
      <c r="Q56" s="10">
        <f>IF(ISERROR(HLOOKUP(CFs!$A56,Input!$C$131:$L$132,2,FALSE)),0,HLOOKUP(CFs!$A56,Input!$C$131:$L$132,2,FALSE))</f>
        <v>0</v>
      </c>
      <c r="R56" s="10">
        <f>IF(ISERROR(HLOOKUP(CFs!$A56,Input!$C$135:$L$136,2,FALSE)),0,HLOOKUP(CFs!$A56,Input!$C$135:$L$136,2,FALSE))</f>
        <v>0</v>
      </c>
      <c r="S56" s="10">
        <f>IF(ISERROR(HLOOKUP(CFs!$A56,Input!$C$137:$L$138,2,FALSE)),0,HLOOKUP(CFs!$A56,Input!$C$137:$L$138,2,FALSE))</f>
        <v>0</v>
      </c>
      <c r="T56" s="10">
        <f>IF(ISERROR(HLOOKUP(CFs!$A56,Input!$C$139:$L$140,2,FALSE)),0,HLOOKUP(CFs!$A56,Input!$C$139:$L$140,2,FALSE))</f>
        <v>0</v>
      </c>
      <c r="U56" s="10">
        <f>IF(ISERROR(HLOOKUP(CFs!$A56,Input!$C$141:$L$142,2,FALSE)),0,HLOOKUP(CFs!$A56,Input!$C$141:$L$142,2,FALSE))</f>
        <v>0</v>
      </c>
      <c r="V56" s="10">
        <f>IF(ISERROR(HLOOKUP(CFs!$A56,Input!$C$143:$L$144,2,FALSE)),0,HLOOKUP(CFs!$A56,Input!$C$143:$L$144,2,FALSE))</f>
        <v>0</v>
      </c>
      <c r="W56" s="10">
        <f>IF(ISERROR(HLOOKUP(CFs!$A56,Input!$C$145:$L$146,2,FALSE)),0,HLOOKUP(CFs!$A56,Input!$C$145:$L$146,2,FALSE))</f>
        <v>0</v>
      </c>
      <c r="X56" s="10">
        <f>IF(ISERROR(HLOOKUP(CFs!$A56,Input!$C$147:$L$148,2,FALSE)),0,HLOOKUP(CFs!$A56,Input!$C$147:$L$148,2,FALSE))</f>
        <v>0</v>
      </c>
      <c r="Y56" s="13">
        <f t="shared" si="2"/>
        <v>-618134.99999999988</v>
      </c>
      <c r="Z56" s="10">
        <f>IF(ISERROR(HLOOKUP(CFs!$A56,Input!$C$152:$L$153,2,FALSE)),0,HLOOKUP(CFs!$A56,Input!$C$152:$L$153,2,FALSE))</f>
        <v>0</v>
      </c>
      <c r="AA56" s="10">
        <f>IF(ISERROR(HLOOKUP(CFs!$A56,Input!$C$149:$L$150,2,FALSE)),0,HLOOKUP(CFs!$A56,Input!$C$149:$L$150,2,FALSE))</f>
        <v>0</v>
      </c>
      <c r="AB56" s="10">
        <f>IF(ISERROR(HLOOKUP(CFs!$A56,Input!$C$151:$L$154,2,FALSE)),0,HLOOKUP(CFs!$A56,Input!$C$151:$L$154,2,FALSE))</f>
        <v>0</v>
      </c>
      <c r="AC56">
        <f t="shared" si="1"/>
        <v>0</v>
      </c>
      <c r="AD56" s="1" cm="1">
        <f t="array" ref="AD56">FirmaCashflow(Input!$C$165,Input!$C$166,Input!$C$163,Input!$D$163,CFs!A56)</f>
        <v>0</v>
      </c>
      <c r="AE56" s="2">
        <f>D56+G56+J56+Y56+AC56+AD56</f>
        <v>10658772.612585776</v>
      </c>
      <c r="AF56" s="2">
        <f t="shared" si="3"/>
        <v>150514476.93709156</v>
      </c>
    </row>
    <row r="57" spans="1:32" x14ac:dyDescent="0.25">
      <c r="A57">
        <v>55</v>
      </c>
      <c r="B57" s="1">
        <f>Input!$G$78/12</f>
        <v>22617844.649999991</v>
      </c>
      <c r="C57" s="1">
        <f>Input!$G$79/12</f>
        <v>546597.91237499984</v>
      </c>
      <c r="D57" s="2">
        <f>SUM(B57:C57)</f>
        <v>23164442.56237499</v>
      </c>
      <c r="E57" s="1">
        <f>Input!$G$82/12</f>
        <v>-10963885.477956247</v>
      </c>
      <c r="F57" s="1">
        <f>Input!$G$83/12</f>
        <v>-273298.95618749992</v>
      </c>
      <c r="G57" s="2">
        <f>SUM(E57:F57)</f>
        <v>-11237184.434143746</v>
      </c>
      <c r="H57" s="1">
        <f>Input!$G$110/12</f>
        <v>-447010.94873822894</v>
      </c>
      <c r="I57" s="1">
        <f>Input!$G$111/12</f>
        <v>-203339.56690723947</v>
      </c>
      <c r="J57" s="10">
        <f t="shared" si="0"/>
        <v>-650350.51564546837</v>
      </c>
      <c r="K57" s="10">
        <f>IF(ISERROR(HLOOKUP(CFs!A57,Input!$C$115:$L$117,2,FALSE)),0,HLOOKUP(CFs!A57,Input!$C$115:$L$117,2,FALSE))</f>
        <v>0</v>
      </c>
      <c r="L57" s="10">
        <f>IF(ISERROR(HLOOKUP(CFs!A57,Input!$C$115:$L$117,3,FALSE)),0,HLOOKUP(CFs!A57,Input!$C$115:$L$117,3,FALSE))</f>
        <v>0</v>
      </c>
      <c r="M57" s="10">
        <f>IF(ISERROR(HLOOKUP(CFs!$A57,Input!$C$119:$L$120,2,FALSE)),0,HLOOKUP(CFs!$A57,Input!$C$119:$L$120,2,FALSE))</f>
        <v>0</v>
      </c>
      <c r="N57" s="10">
        <f>IF(ISERROR(HLOOKUP(CFs!$A57,Input!$C$123:$L$124,2,FALSE)),0,HLOOKUP(CFs!$A57,Input!$C$123:$L$124,2,FALSE))</f>
        <v>0</v>
      </c>
      <c r="O57" s="10">
        <f>IF(ISERROR(HLOOKUP(CFs!$A57,Input!$C$125:$L$126,2,FALSE)),0,HLOOKUP(CFs!$A57,Input!$C$125:$L$126,2,FALSE))</f>
        <v>0</v>
      </c>
      <c r="P57" s="10">
        <f>IF(ISERROR(HLOOKUP(CFs!$A57,Input!$C$129:$L$130,2,FALSE)),0,HLOOKUP(CFs!$A57,Input!$C$129:$L$130,2,FALSE))</f>
        <v>0</v>
      </c>
      <c r="Q57" s="10">
        <f>IF(ISERROR(HLOOKUP(CFs!$A57,Input!$C$131:$L$132,2,FALSE)),0,HLOOKUP(CFs!$A57,Input!$C$131:$L$132,2,FALSE))</f>
        <v>0</v>
      </c>
      <c r="R57" s="10">
        <f>IF(ISERROR(HLOOKUP(CFs!$A57,Input!$C$135:$L$136,2,FALSE)),0,HLOOKUP(CFs!$A57,Input!$C$135:$L$136,2,FALSE))</f>
        <v>0</v>
      </c>
      <c r="S57" s="10">
        <f>IF(ISERROR(HLOOKUP(CFs!$A57,Input!$C$137:$L$138,2,FALSE)),0,HLOOKUP(CFs!$A57,Input!$C$137:$L$138,2,FALSE))</f>
        <v>0</v>
      </c>
      <c r="T57" s="10">
        <f>IF(ISERROR(HLOOKUP(CFs!$A57,Input!$C$139:$L$140,2,FALSE)),0,HLOOKUP(CFs!$A57,Input!$C$139:$L$140,2,FALSE))</f>
        <v>0</v>
      </c>
      <c r="U57" s="10">
        <f>IF(ISERROR(HLOOKUP(CFs!$A57,Input!$C$141:$L$142,2,FALSE)),0,HLOOKUP(CFs!$A57,Input!$C$141:$L$142,2,FALSE))</f>
        <v>0</v>
      </c>
      <c r="V57" s="10">
        <f>IF(ISERROR(HLOOKUP(CFs!$A57,Input!$C$143:$L$144,2,FALSE)),0,HLOOKUP(CFs!$A57,Input!$C$143:$L$144,2,FALSE))</f>
        <v>0</v>
      </c>
      <c r="W57" s="10">
        <f>IF(ISERROR(HLOOKUP(CFs!$A57,Input!$C$145:$L$146,2,FALSE)),0,HLOOKUP(CFs!$A57,Input!$C$145:$L$146,2,FALSE))</f>
        <v>0</v>
      </c>
      <c r="X57" s="10">
        <f>IF(ISERROR(HLOOKUP(CFs!$A57,Input!$C$147:$L$148,2,FALSE)),0,HLOOKUP(CFs!$A57,Input!$C$147:$L$148,2,FALSE))</f>
        <v>0</v>
      </c>
      <c r="Y57" s="13">
        <f t="shared" si="2"/>
        <v>0</v>
      </c>
      <c r="Z57" s="10">
        <f>IF(ISERROR(HLOOKUP(CFs!$A57,Input!$C$152:$L$153,2,FALSE)),0,HLOOKUP(CFs!$A57,Input!$C$152:$L$153,2,FALSE))</f>
        <v>0</v>
      </c>
      <c r="AA57" s="10">
        <f>IF(ISERROR(HLOOKUP(CFs!$A57,Input!$C$149:$L$150,2,FALSE)),0,HLOOKUP(CFs!$A57,Input!$C$149:$L$150,2,FALSE))</f>
        <v>0</v>
      </c>
      <c r="AB57" s="10">
        <f>IF(ISERROR(HLOOKUP(CFs!$A57,Input!$C$151:$L$154,2,FALSE)),0,HLOOKUP(CFs!$A57,Input!$C$151:$L$154,2,FALSE))</f>
        <v>0</v>
      </c>
      <c r="AC57">
        <f t="shared" si="1"/>
        <v>0</v>
      </c>
      <c r="AD57" s="1" cm="1">
        <f t="array" ref="AD57">FirmaCashflow(Input!$C$165,Input!$C$166,Input!$C$163,Input!$D$163,CFs!A57)</f>
        <v>0</v>
      </c>
      <c r="AE57" s="2">
        <f>D57+G57+J57+Y57+AC57+AD57</f>
        <v>11276907.612585776</v>
      </c>
      <c r="AF57" s="2">
        <f t="shared" si="3"/>
        <v>161791384.54967734</v>
      </c>
    </row>
    <row r="58" spans="1:32" x14ac:dyDescent="0.25">
      <c r="A58">
        <v>56</v>
      </c>
      <c r="B58" s="1">
        <f>Input!$G$78/12</f>
        <v>22617844.649999991</v>
      </c>
      <c r="C58" s="1">
        <f>Input!$G$79/12</f>
        <v>546597.91237499984</v>
      </c>
      <c r="D58" s="2">
        <f>SUM(B58:C58)</f>
        <v>23164442.56237499</v>
      </c>
      <c r="E58" s="1">
        <f>Input!$G$82/12</f>
        <v>-10963885.477956247</v>
      </c>
      <c r="F58" s="1">
        <f>Input!$G$83/12</f>
        <v>-273298.95618749992</v>
      </c>
      <c r="G58" s="2">
        <f>SUM(E58:F58)</f>
        <v>-11237184.434143746</v>
      </c>
      <c r="H58" s="1">
        <f>Input!$G$110/12</f>
        <v>-447010.94873822894</v>
      </c>
      <c r="I58" s="1">
        <f>Input!$G$111/12</f>
        <v>-203339.56690723947</v>
      </c>
      <c r="J58" s="10">
        <f t="shared" si="0"/>
        <v>-650350.51564546837</v>
      </c>
      <c r="K58" s="10">
        <f>IF(ISERROR(HLOOKUP(CFs!A58,Input!$C$115:$L$117,2,FALSE)),0,HLOOKUP(CFs!A58,Input!$C$115:$L$117,2,FALSE))</f>
        <v>0</v>
      </c>
      <c r="L58" s="10">
        <f>IF(ISERROR(HLOOKUP(CFs!A58,Input!$C$115:$L$117,3,FALSE)),0,HLOOKUP(CFs!A58,Input!$C$115:$L$117,3,FALSE))</f>
        <v>0</v>
      </c>
      <c r="M58" s="10">
        <f>IF(ISERROR(HLOOKUP(CFs!$A58,Input!$C$119:$L$120,2,FALSE)),0,HLOOKUP(CFs!$A58,Input!$C$119:$L$120,2,FALSE))</f>
        <v>0</v>
      </c>
      <c r="N58" s="10">
        <f>IF(ISERROR(HLOOKUP(CFs!$A58,Input!$C$123:$L$124,2,FALSE)),0,HLOOKUP(CFs!$A58,Input!$C$123:$L$124,2,FALSE))</f>
        <v>0</v>
      </c>
      <c r="O58" s="10">
        <f>IF(ISERROR(HLOOKUP(CFs!$A58,Input!$C$125:$L$126,2,FALSE)),0,HLOOKUP(CFs!$A58,Input!$C$125:$L$126,2,FALSE))</f>
        <v>0</v>
      </c>
      <c r="P58" s="10">
        <f>IF(ISERROR(HLOOKUP(CFs!$A58,Input!$C$129:$L$130,2,FALSE)),0,HLOOKUP(CFs!$A58,Input!$C$129:$L$130,2,FALSE))</f>
        <v>0</v>
      </c>
      <c r="Q58" s="10">
        <f>IF(ISERROR(HLOOKUP(CFs!$A58,Input!$C$131:$L$132,2,FALSE)),0,HLOOKUP(CFs!$A58,Input!$C$131:$L$132,2,FALSE))</f>
        <v>0</v>
      </c>
      <c r="R58" s="10">
        <f>IF(ISERROR(HLOOKUP(CFs!$A58,Input!$C$135:$L$136,2,FALSE)),0,HLOOKUP(CFs!$A58,Input!$C$135:$L$136,2,FALSE))</f>
        <v>0</v>
      </c>
      <c r="S58" s="10">
        <f>IF(ISERROR(HLOOKUP(CFs!$A58,Input!$C$137:$L$138,2,FALSE)),0,HLOOKUP(CFs!$A58,Input!$C$137:$L$138,2,FALSE))</f>
        <v>0</v>
      </c>
      <c r="T58" s="10">
        <f>IF(ISERROR(HLOOKUP(CFs!$A58,Input!$C$139:$L$140,2,FALSE)),0,HLOOKUP(CFs!$A58,Input!$C$139:$L$140,2,FALSE))</f>
        <v>0</v>
      </c>
      <c r="U58" s="10">
        <f>IF(ISERROR(HLOOKUP(CFs!$A58,Input!$C$141:$L$142,2,FALSE)),0,HLOOKUP(CFs!$A58,Input!$C$141:$L$142,2,FALSE))</f>
        <v>0</v>
      </c>
      <c r="V58" s="10">
        <f>IF(ISERROR(HLOOKUP(CFs!$A58,Input!$C$143:$L$144,2,FALSE)),0,HLOOKUP(CFs!$A58,Input!$C$143:$L$144,2,FALSE))</f>
        <v>0</v>
      </c>
      <c r="W58" s="10">
        <f>IF(ISERROR(HLOOKUP(CFs!$A58,Input!$C$145:$L$146,2,FALSE)),0,HLOOKUP(CFs!$A58,Input!$C$145:$L$146,2,FALSE))</f>
        <v>0</v>
      </c>
      <c r="X58" s="10">
        <f>IF(ISERROR(HLOOKUP(CFs!$A58,Input!$C$147:$L$148,2,FALSE)),0,HLOOKUP(CFs!$A58,Input!$C$147:$L$148,2,FALSE))</f>
        <v>0</v>
      </c>
      <c r="Y58" s="13">
        <f t="shared" si="2"/>
        <v>0</v>
      </c>
      <c r="Z58" s="10">
        <f>IF(ISERROR(HLOOKUP(CFs!$A58,Input!$C$152:$L$153,2,FALSE)),0,HLOOKUP(CFs!$A58,Input!$C$152:$L$153,2,FALSE))</f>
        <v>0</v>
      </c>
      <c r="AA58" s="10">
        <f>IF(ISERROR(HLOOKUP(CFs!$A58,Input!$C$149:$L$150,2,FALSE)),0,HLOOKUP(CFs!$A58,Input!$C$149:$L$150,2,FALSE))</f>
        <v>0</v>
      </c>
      <c r="AB58" s="10">
        <f>IF(ISERROR(HLOOKUP(CFs!$A58,Input!$C$151:$L$154,2,FALSE)),0,HLOOKUP(CFs!$A58,Input!$C$151:$L$154,2,FALSE))</f>
        <v>0</v>
      </c>
      <c r="AC58">
        <f t="shared" si="1"/>
        <v>0</v>
      </c>
      <c r="AD58" s="1" cm="1">
        <f t="array" ref="AD58">FirmaCashflow(Input!$C$165,Input!$C$166,Input!$C$163,Input!$D$163,CFs!A58)</f>
        <v>0</v>
      </c>
      <c r="AE58" s="2">
        <f>D58+G58+J58+Y58+AC58+AD58</f>
        <v>11276907.612585776</v>
      </c>
      <c r="AF58" s="2">
        <f t="shared" si="3"/>
        <v>173068292.16226313</v>
      </c>
    </row>
    <row r="59" spans="1:32" x14ac:dyDescent="0.25">
      <c r="A59">
        <v>57</v>
      </c>
      <c r="B59" s="1">
        <f>Input!$G$78/12</f>
        <v>22617844.649999991</v>
      </c>
      <c r="C59" s="1">
        <f>Input!$G$79/12</f>
        <v>546597.91237499984</v>
      </c>
      <c r="D59" s="2">
        <f>SUM(B59:C59)</f>
        <v>23164442.56237499</v>
      </c>
      <c r="E59" s="1">
        <f>Input!$G$82/12</f>
        <v>-10963885.477956247</v>
      </c>
      <c r="F59" s="1">
        <f>Input!$G$83/12</f>
        <v>-273298.95618749992</v>
      </c>
      <c r="G59" s="2">
        <f>SUM(E59:F59)</f>
        <v>-11237184.434143746</v>
      </c>
      <c r="H59" s="1">
        <f>Input!$G$110/12</f>
        <v>-447010.94873822894</v>
      </c>
      <c r="I59" s="1">
        <f>Input!$G$111/12</f>
        <v>-203339.56690723947</v>
      </c>
      <c r="J59" s="10">
        <f t="shared" si="0"/>
        <v>-650350.51564546837</v>
      </c>
      <c r="K59" s="10">
        <f>IF(ISERROR(HLOOKUP(CFs!A59,Input!$C$115:$L$117,2,FALSE)),0,HLOOKUP(CFs!A59,Input!$C$115:$L$117,2,FALSE))</f>
        <v>0</v>
      </c>
      <c r="L59" s="10">
        <f>IF(ISERROR(HLOOKUP(CFs!A59,Input!$C$115:$L$117,3,FALSE)),0,HLOOKUP(CFs!A59,Input!$C$115:$L$117,3,FALSE))</f>
        <v>0</v>
      </c>
      <c r="M59" s="10">
        <f>IF(ISERROR(HLOOKUP(CFs!$A59,Input!$C$119:$L$120,2,FALSE)),0,HLOOKUP(CFs!$A59,Input!$C$119:$L$120,2,FALSE))</f>
        <v>0</v>
      </c>
      <c r="N59" s="10">
        <f>IF(ISERROR(HLOOKUP(CFs!$A59,Input!$C$123:$L$124,2,FALSE)),0,HLOOKUP(CFs!$A59,Input!$C$123:$L$124,2,FALSE))</f>
        <v>0</v>
      </c>
      <c r="O59" s="10">
        <f>IF(ISERROR(HLOOKUP(CFs!$A59,Input!$C$125:$L$126,2,FALSE)),0,HLOOKUP(CFs!$A59,Input!$C$125:$L$126,2,FALSE))</f>
        <v>0</v>
      </c>
      <c r="P59" s="10">
        <f>IF(ISERROR(HLOOKUP(CFs!$A59,Input!$C$129:$L$130,2,FALSE)),0,HLOOKUP(CFs!$A59,Input!$C$129:$L$130,2,FALSE))</f>
        <v>0</v>
      </c>
      <c r="Q59" s="10">
        <f>IF(ISERROR(HLOOKUP(CFs!$A59,Input!$C$131:$L$132,2,FALSE)),0,HLOOKUP(CFs!$A59,Input!$C$131:$L$132,2,FALSE))</f>
        <v>0</v>
      </c>
      <c r="R59" s="10">
        <f>IF(ISERROR(HLOOKUP(CFs!$A59,Input!$C$135:$L$136,2,FALSE)),0,HLOOKUP(CFs!$A59,Input!$C$135:$L$136,2,FALSE))</f>
        <v>0</v>
      </c>
      <c r="S59" s="10">
        <f>IF(ISERROR(HLOOKUP(CFs!$A59,Input!$C$137:$L$138,2,FALSE)),0,HLOOKUP(CFs!$A59,Input!$C$137:$L$138,2,FALSE))</f>
        <v>0</v>
      </c>
      <c r="T59" s="10">
        <f>IF(ISERROR(HLOOKUP(CFs!$A59,Input!$C$139:$L$140,2,FALSE)),0,HLOOKUP(CFs!$A59,Input!$C$139:$L$140,2,FALSE))</f>
        <v>0</v>
      </c>
      <c r="U59" s="10">
        <f>IF(ISERROR(HLOOKUP(CFs!$A59,Input!$C$141:$L$142,2,FALSE)),0,HLOOKUP(CFs!$A59,Input!$C$141:$L$142,2,FALSE))</f>
        <v>0</v>
      </c>
      <c r="V59" s="10">
        <f>IF(ISERROR(HLOOKUP(CFs!$A59,Input!$C$143:$L$144,2,FALSE)),0,HLOOKUP(CFs!$A59,Input!$C$143:$L$144,2,FALSE))</f>
        <v>0</v>
      </c>
      <c r="W59" s="10">
        <f>IF(ISERROR(HLOOKUP(CFs!$A59,Input!$C$145:$L$146,2,FALSE)),0,HLOOKUP(CFs!$A59,Input!$C$145:$L$146,2,FALSE))</f>
        <v>0</v>
      </c>
      <c r="X59" s="10">
        <f>IF(ISERROR(HLOOKUP(CFs!$A59,Input!$C$147:$L$148,2,FALSE)),0,HLOOKUP(CFs!$A59,Input!$C$147:$L$148,2,FALSE))</f>
        <v>0</v>
      </c>
      <c r="Y59" s="13">
        <f t="shared" si="2"/>
        <v>0</v>
      </c>
      <c r="Z59" s="10">
        <f>IF(ISERROR(HLOOKUP(CFs!$A59,Input!$C$152:$L$153,2,FALSE)),0,HLOOKUP(CFs!$A59,Input!$C$152:$L$153,2,FALSE))</f>
        <v>0</v>
      </c>
      <c r="AA59" s="10">
        <f>IF(ISERROR(HLOOKUP(CFs!$A59,Input!$C$149:$L$150,2,FALSE)),0,HLOOKUP(CFs!$A59,Input!$C$149:$L$150,2,FALSE))</f>
        <v>0</v>
      </c>
      <c r="AB59" s="10">
        <f>IF(ISERROR(HLOOKUP(CFs!$A59,Input!$C$151:$L$154,2,FALSE)),0,HLOOKUP(CFs!$A59,Input!$C$151:$L$154,2,FALSE))</f>
        <v>0</v>
      </c>
      <c r="AC59">
        <f t="shared" si="1"/>
        <v>0</v>
      </c>
      <c r="AD59" s="1" cm="1">
        <f t="array" ref="AD59">FirmaCashflow(Input!$C$165,Input!$C$166,Input!$C$163,Input!$D$163,CFs!A59)</f>
        <v>0</v>
      </c>
      <c r="AE59" s="2">
        <f>D59+G59+J59+Y59+AC59+AD59</f>
        <v>11276907.612585776</v>
      </c>
      <c r="AF59" s="2">
        <f t="shared" si="3"/>
        <v>184345199.77484891</v>
      </c>
    </row>
    <row r="60" spans="1:32" x14ac:dyDescent="0.25">
      <c r="A60">
        <v>58</v>
      </c>
      <c r="B60" s="1">
        <f>Input!$G$78/12</f>
        <v>22617844.649999991</v>
      </c>
      <c r="C60" s="1">
        <f>Input!$G$79/12</f>
        <v>546597.91237499984</v>
      </c>
      <c r="D60" s="2">
        <f>SUM(B60:C60)</f>
        <v>23164442.56237499</v>
      </c>
      <c r="E60" s="1">
        <f>Input!$G$82/12</f>
        <v>-10963885.477956247</v>
      </c>
      <c r="F60" s="1">
        <f>Input!$G$83/12</f>
        <v>-273298.95618749992</v>
      </c>
      <c r="G60" s="2">
        <f>SUM(E60:F60)</f>
        <v>-11237184.434143746</v>
      </c>
      <c r="H60" s="1">
        <f>Input!$G$110/12</f>
        <v>-447010.94873822894</v>
      </c>
      <c r="I60" s="1">
        <f>Input!$G$111/12</f>
        <v>-203339.56690723947</v>
      </c>
      <c r="J60" s="10">
        <f t="shared" si="0"/>
        <v>-650350.51564546837</v>
      </c>
      <c r="K60" s="10">
        <f>IF(ISERROR(HLOOKUP(CFs!A60,Input!$C$115:$L$117,2,FALSE)),0,HLOOKUP(CFs!A60,Input!$C$115:$L$117,2,FALSE))</f>
        <v>0</v>
      </c>
      <c r="L60" s="10">
        <f>IF(ISERROR(HLOOKUP(CFs!A60,Input!$C$115:$L$117,3,FALSE)),0,HLOOKUP(CFs!A60,Input!$C$115:$L$117,3,FALSE))</f>
        <v>0</v>
      </c>
      <c r="M60" s="10">
        <f>IF(ISERROR(HLOOKUP(CFs!$A60,Input!$C$119:$L$120,2,FALSE)),0,HLOOKUP(CFs!$A60,Input!$C$119:$L$120,2,FALSE))</f>
        <v>0</v>
      </c>
      <c r="N60" s="10">
        <f>IF(ISERROR(HLOOKUP(CFs!$A60,Input!$C$123:$L$124,2,FALSE)),0,HLOOKUP(CFs!$A60,Input!$C$123:$L$124,2,FALSE))</f>
        <v>0</v>
      </c>
      <c r="O60" s="10">
        <f>IF(ISERROR(HLOOKUP(CFs!$A60,Input!$C$125:$L$126,2,FALSE)),0,HLOOKUP(CFs!$A60,Input!$C$125:$L$126,2,FALSE))</f>
        <v>0</v>
      </c>
      <c r="P60" s="10">
        <f>IF(ISERROR(HLOOKUP(CFs!$A60,Input!$C$129:$L$130,2,FALSE)),0,HLOOKUP(CFs!$A60,Input!$C$129:$L$130,2,FALSE))</f>
        <v>0</v>
      </c>
      <c r="Q60" s="10">
        <f>IF(ISERROR(HLOOKUP(CFs!$A60,Input!$C$131:$L$132,2,FALSE)),0,HLOOKUP(CFs!$A60,Input!$C$131:$L$132,2,FALSE))</f>
        <v>0</v>
      </c>
      <c r="R60" s="10">
        <f>IF(ISERROR(HLOOKUP(CFs!$A60,Input!$C$135:$L$136,2,FALSE)),0,HLOOKUP(CFs!$A60,Input!$C$135:$L$136,2,FALSE))</f>
        <v>0</v>
      </c>
      <c r="S60" s="10">
        <f>IF(ISERROR(HLOOKUP(CFs!$A60,Input!$C$137:$L$138,2,FALSE)),0,HLOOKUP(CFs!$A60,Input!$C$137:$L$138,2,FALSE))</f>
        <v>0</v>
      </c>
      <c r="T60" s="10">
        <f>IF(ISERROR(HLOOKUP(CFs!$A60,Input!$C$139:$L$140,2,FALSE)),0,HLOOKUP(CFs!$A60,Input!$C$139:$L$140,2,FALSE))</f>
        <v>0</v>
      </c>
      <c r="U60" s="10">
        <f>IF(ISERROR(HLOOKUP(CFs!$A60,Input!$C$141:$L$142,2,FALSE)),0,HLOOKUP(CFs!$A60,Input!$C$141:$L$142,2,FALSE))</f>
        <v>0</v>
      </c>
      <c r="V60" s="10">
        <f>IF(ISERROR(HLOOKUP(CFs!$A60,Input!$C$143:$L$144,2,FALSE)),0,HLOOKUP(CFs!$A60,Input!$C$143:$L$144,2,FALSE))</f>
        <v>0</v>
      </c>
      <c r="W60" s="10">
        <f>IF(ISERROR(HLOOKUP(CFs!$A60,Input!$C$145:$L$146,2,FALSE)),0,HLOOKUP(CFs!$A60,Input!$C$145:$L$146,2,FALSE))</f>
        <v>0</v>
      </c>
      <c r="X60" s="10">
        <f>IF(ISERROR(HLOOKUP(CFs!$A60,Input!$C$147:$L$148,2,FALSE)),0,HLOOKUP(CFs!$A60,Input!$C$147:$L$148,2,FALSE))</f>
        <v>0</v>
      </c>
      <c r="Y60" s="13">
        <f t="shared" si="2"/>
        <v>0</v>
      </c>
      <c r="Z60" s="10">
        <f>IF(ISERROR(HLOOKUP(CFs!$A60,Input!$C$152:$L$153,2,FALSE)),0,HLOOKUP(CFs!$A60,Input!$C$152:$L$153,2,FALSE))</f>
        <v>0</v>
      </c>
      <c r="AA60" s="10">
        <f>IF(ISERROR(HLOOKUP(CFs!$A60,Input!$C$149:$L$150,2,FALSE)),0,HLOOKUP(CFs!$A60,Input!$C$149:$L$150,2,FALSE))</f>
        <v>0</v>
      </c>
      <c r="AB60" s="10">
        <f>IF(ISERROR(HLOOKUP(CFs!$A60,Input!$C$151:$L$154,2,FALSE)),0,HLOOKUP(CFs!$A60,Input!$C$151:$L$154,2,FALSE))</f>
        <v>0</v>
      </c>
      <c r="AC60">
        <f t="shared" si="1"/>
        <v>0</v>
      </c>
      <c r="AD60" s="1" cm="1">
        <f t="array" ref="AD60">FirmaCashflow(Input!$C$165,Input!$C$166,Input!$C$163,Input!$D$163,CFs!A60)</f>
        <v>0</v>
      </c>
      <c r="AE60" s="2">
        <f>D60+G60+J60+Y60+AC60+AD60</f>
        <v>11276907.612585776</v>
      </c>
      <c r="AF60" s="2">
        <f t="shared" si="3"/>
        <v>195622107.38743469</v>
      </c>
    </row>
    <row r="61" spans="1:32" x14ac:dyDescent="0.25">
      <c r="A61">
        <v>59</v>
      </c>
      <c r="B61" s="1">
        <f>Input!$G$78/12</f>
        <v>22617844.649999991</v>
      </c>
      <c r="C61" s="1">
        <f>Input!$G$79/12</f>
        <v>546597.91237499984</v>
      </c>
      <c r="D61" s="2">
        <f>SUM(B61:C61)</f>
        <v>23164442.56237499</v>
      </c>
      <c r="E61" s="1">
        <f>Input!$G$82/12</f>
        <v>-10963885.477956247</v>
      </c>
      <c r="F61" s="1">
        <f>Input!$G$83/12</f>
        <v>-273298.95618749992</v>
      </c>
      <c r="G61" s="2">
        <f>SUM(E61:F61)</f>
        <v>-11237184.434143746</v>
      </c>
      <c r="H61" s="1">
        <f>Input!$G$110/12</f>
        <v>-447010.94873822894</v>
      </c>
      <c r="I61" s="1">
        <f>Input!$G$111/12</f>
        <v>-203339.56690723947</v>
      </c>
      <c r="J61" s="10">
        <f t="shared" si="0"/>
        <v>-650350.51564546837</v>
      </c>
      <c r="K61" s="10">
        <f>IF(ISERROR(HLOOKUP(CFs!A61,Input!$C$115:$L$117,2,FALSE)),0,HLOOKUP(CFs!A61,Input!$C$115:$L$117,2,FALSE))</f>
        <v>0</v>
      </c>
      <c r="L61" s="10">
        <f>IF(ISERROR(HLOOKUP(CFs!A61,Input!$C$115:$L$117,3,FALSE)),0,HLOOKUP(CFs!A61,Input!$C$115:$L$117,3,FALSE))</f>
        <v>0</v>
      </c>
      <c r="M61" s="10">
        <f>IF(ISERROR(HLOOKUP(CFs!$A61,Input!$C$119:$L$120,2,FALSE)),0,HLOOKUP(CFs!$A61,Input!$C$119:$L$120,2,FALSE))</f>
        <v>0</v>
      </c>
      <c r="N61" s="10">
        <f>IF(ISERROR(HLOOKUP(CFs!$A61,Input!$C$123:$L$124,2,FALSE)),0,HLOOKUP(CFs!$A61,Input!$C$123:$L$124,2,FALSE))</f>
        <v>0</v>
      </c>
      <c r="O61" s="10">
        <f>IF(ISERROR(HLOOKUP(CFs!$A61,Input!$C$125:$L$126,2,FALSE)),0,HLOOKUP(CFs!$A61,Input!$C$125:$L$126,2,FALSE))</f>
        <v>0</v>
      </c>
      <c r="P61" s="10">
        <f>IF(ISERROR(HLOOKUP(CFs!$A61,Input!$C$129:$L$130,2,FALSE)),0,HLOOKUP(CFs!$A61,Input!$C$129:$L$130,2,FALSE))</f>
        <v>0</v>
      </c>
      <c r="Q61" s="10">
        <f>IF(ISERROR(HLOOKUP(CFs!$A61,Input!$C$131:$L$132,2,FALSE)),0,HLOOKUP(CFs!$A61,Input!$C$131:$L$132,2,FALSE))</f>
        <v>0</v>
      </c>
      <c r="R61" s="10">
        <f>IF(ISERROR(HLOOKUP(CFs!$A61,Input!$C$135:$L$136,2,FALSE)),0,HLOOKUP(CFs!$A61,Input!$C$135:$L$136,2,FALSE))</f>
        <v>0</v>
      </c>
      <c r="S61" s="10">
        <f>IF(ISERROR(HLOOKUP(CFs!$A61,Input!$C$137:$L$138,2,FALSE)),0,HLOOKUP(CFs!$A61,Input!$C$137:$L$138,2,FALSE))</f>
        <v>0</v>
      </c>
      <c r="T61" s="10">
        <f>IF(ISERROR(HLOOKUP(CFs!$A61,Input!$C$139:$L$140,2,FALSE)),0,HLOOKUP(CFs!$A61,Input!$C$139:$L$140,2,FALSE))</f>
        <v>0</v>
      </c>
      <c r="U61" s="10">
        <f>IF(ISERROR(HLOOKUP(CFs!$A61,Input!$C$141:$L$142,2,FALSE)),0,HLOOKUP(CFs!$A61,Input!$C$141:$L$142,2,FALSE))</f>
        <v>0</v>
      </c>
      <c r="V61" s="10">
        <f>IF(ISERROR(HLOOKUP(CFs!$A61,Input!$C$143:$L$144,2,FALSE)),0,HLOOKUP(CFs!$A61,Input!$C$143:$L$144,2,FALSE))</f>
        <v>0</v>
      </c>
      <c r="W61" s="10">
        <f>IF(ISERROR(HLOOKUP(CFs!$A61,Input!$C$145:$L$146,2,FALSE)),0,HLOOKUP(CFs!$A61,Input!$C$145:$L$146,2,FALSE))</f>
        <v>0</v>
      </c>
      <c r="X61" s="10">
        <f>IF(ISERROR(HLOOKUP(CFs!$A61,Input!$C$147:$L$148,2,FALSE)),0,HLOOKUP(CFs!$A61,Input!$C$147:$L$148,2,FALSE))</f>
        <v>0</v>
      </c>
      <c r="Y61" s="13">
        <f t="shared" si="2"/>
        <v>0</v>
      </c>
      <c r="Z61" s="10">
        <f>IF(ISERROR(HLOOKUP(CFs!$A61,Input!$C$152:$L$153,2,FALSE)),0,HLOOKUP(CFs!$A61,Input!$C$152:$L$153,2,FALSE))</f>
        <v>0</v>
      </c>
      <c r="AA61" s="10">
        <f>IF(ISERROR(HLOOKUP(CFs!$A61,Input!$C$149:$L$150,2,FALSE)),0,HLOOKUP(CFs!$A61,Input!$C$149:$L$150,2,FALSE))</f>
        <v>0</v>
      </c>
      <c r="AB61" s="10">
        <f>IF(ISERROR(HLOOKUP(CFs!$A61,Input!$C$151:$L$154,2,FALSE)),0,HLOOKUP(CFs!$A61,Input!$C$151:$L$154,2,FALSE))</f>
        <v>0</v>
      </c>
      <c r="AC61">
        <f t="shared" si="1"/>
        <v>0</v>
      </c>
      <c r="AD61" s="1" cm="1">
        <f t="array" ref="AD61">FirmaCashflow(Input!$C$165,Input!$C$166,Input!$C$163,Input!$D$163,CFs!A61)</f>
        <v>0</v>
      </c>
      <c r="AE61" s="2">
        <f>D61+G61+J61+Y61+AC61+AD61</f>
        <v>11276907.612585776</v>
      </c>
      <c r="AF61" s="2">
        <f t="shared" si="3"/>
        <v>206899015.00002047</v>
      </c>
    </row>
    <row r="62" spans="1:32" x14ac:dyDescent="0.25">
      <c r="A62">
        <v>60</v>
      </c>
      <c r="B62" s="1">
        <f>Input!$G$78/12</f>
        <v>22617844.649999991</v>
      </c>
      <c r="C62" s="1">
        <f>Input!$G$79/12</f>
        <v>546597.91237499984</v>
      </c>
      <c r="D62" s="2">
        <f>SUM(B62:C62)</f>
        <v>23164442.56237499</v>
      </c>
      <c r="E62" s="1">
        <f>Input!$G$82/12</f>
        <v>-10963885.477956247</v>
      </c>
      <c r="F62" s="1">
        <f>Input!$G$83/12</f>
        <v>-273298.95618749992</v>
      </c>
      <c r="G62" s="2">
        <f>SUM(E62:F62)</f>
        <v>-11237184.434143746</v>
      </c>
      <c r="H62" s="1">
        <f>Input!$G$110/12</f>
        <v>-447010.94873822894</v>
      </c>
      <c r="I62" s="1">
        <f>Input!$G$111/12</f>
        <v>-203339.56690723947</v>
      </c>
      <c r="J62" s="10">
        <f t="shared" si="0"/>
        <v>-650350.51564546837</v>
      </c>
      <c r="K62" s="10">
        <f>IF(ISERROR(HLOOKUP(CFs!A62,Input!$C$115:$L$117,2,FALSE)),0,HLOOKUP(CFs!A62,Input!$C$115:$L$117,2,FALSE))</f>
        <v>0</v>
      </c>
      <c r="L62" s="10">
        <f>IF(ISERROR(HLOOKUP(CFs!A62,Input!$C$115:$L$117,3,FALSE)),0,HLOOKUP(CFs!A62,Input!$C$115:$L$117,3,FALSE))</f>
        <v>0</v>
      </c>
      <c r="M62" s="10">
        <f>IF(ISERROR(HLOOKUP(CFs!$A62,Input!$C$119:$L$120,2,FALSE)),0,HLOOKUP(CFs!$A62,Input!$C$119:$L$120,2,FALSE))</f>
        <v>0</v>
      </c>
      <c r="N62" s="10">
        <f>IF(ISERROR(HLOOKUP(CFs!$A62,Input!$C$123:$L$124,2,FALSE)),0,HLOOKUP(CFs!$A62,Input!$C$123:$L$124,2,FALSE))</f>
        <v>0</v>
      </c>
      <c r="O62" s="10">
        <f>IF(ISERROR(HLOOKUP(CFs!$A62,Input!$C$125:$L$126,2,FALSE)),0,HLOOKUP(CFs!$A62,Input!$C$125:$L$126,2,FALSE))</f>
        <v>0</v>
      </c>
      <c r="P62" s="10">
        <f>IF(ISERROR(HLOOKUP(CFs!$A62,Input!$C$129:$L$130,2,FALSE)),0,HLOOKUP(CFs!$A62,Input!$C$129:$L$130,2,FALSE))</f>
        <v>0</v>
      </c>
      <c r="Q62" s="10">
        <f>IF(ISERROR(HLOOKUP(CFs!$A62,Input!$C$131:$L$132,2,FALSE)),0,HLOOKUP(CFs!$A62,Input!$C$131:$L$132,2,FALSE))</f>
        <v>0</v>
      </c>
      <c r="R62" s="10">
        <f>IF(ISERROR(HLOOKUP(CFs!$A62,Input!$C$135:$L$136,2,FALSE)),0,HLOOKUP(CFs!$A62,Input!$C$135:$L$136,2,FALSE))</f>
        <v>0</v>
      </c>
      <c r="S62" s="10">
        <f>IF(ISERROR(HLOOKUP(CFs!$A62,Input!$C$137:$L$138,2,FALSE)),0,HLOOKUP(CFs!$A62,Input!$C$137:$L$138,2,FALSE))</f>
        <v>0</v>
      </c>
      <c r="T62" s="10">
        <f>IF(ISERROR(HLOOKUP(CFs!$A62,Input!$C$139:$L$140,2,FALSE)),0,HLOOKUP(CFs!$A62,Input!$C$139:$L$140,2,FALSE))</f>
        <v>0</v>
      </c>
      <c r="U62" s="10">
        <f>IF(ISERROR(HLOOKUP(CFs!$A62,Input!$C$141:$L$142,2,FALSE)),0,HLOOKUP(CFs!$A62,Input!$C$141:$L$142,2,FALSE))</f>
        <v>0</v>
      </c>
      <c r="V62" s="10">
        <f>IF(ISERROR(HLOOKUP(CFs!$A62,Input!$C$143:$L$144,2,FALSE)),0,HLOOKUP(CFs!$A62,Input!$C$143:$L$144,2,FALSE))</f>
        <v>0</v>
      </c>
      <c r="W62" s="10">
        <f>IF(ISERROR(HLOOKUP(CFs!$A62,Input!$C$145:$L$146,2,FALSE)),0,HLOOKUP(CFs!$A62,Input!$C$145:$L$146,2,FALSE))</f>
        <v>0</v>
      </c>
      <c r="X62" s="10">
        <f>IF(ISERROR(HLOOKUP(CFs!$A62,Input!$C$147:$L$148,2,FALSE)),0,HLOOKUP(CFs!$A62,Input!$C$147:$L$148,2,FALSE))</f>
        <v>0</v>
      </c>
      <c r="Y62" s="13">
        <f t="shared" si="2"/>
        <v>0</v>
      </c>
      <c r="Z62" s="10">
        <f>IF(ISERROR(HLOOKUP(CFs!$A62,Input!$C$152:$L$153,2,FALSE)),0,HLOOKUP(CFs!$A62,Input!$C$152:$L$153,2,FALSE))</f>
        <v>0</v>
      </c>
      <c r="AA62" s="10">
        <f>IF(ISERROR(HLOOKUP(CFs!$A62,Input!$C$149:$L$150,2,FALSE)),0,HLOOKUP(CFs!$A62,Input!$C$149:$L$150,2,FALSE))</f>
        <v>0</v>
      </c>
      <c r="AB62" s="10">
        <f>IF(ISERROR(HLOOKUP(CFs!$A62,Input!$C$151:$L$154,2,FALSE)),0,HLOOKUP(CFs!$A62,Input!$C$151:$L$154,2,FALSE))</f>
        <v>0</v>
      </c>
      <c r="AC62">
        <f t="shared" si="1"/>
        <v>0</v>
      </c>
      <c r="AD62" s="1" cm="1">
        <f t="array" ref="AD62">FirmaCashflow(Input!$C$165,Input!$C$166,Input!$C$163,Input!$D$163,CFs!A62)</f>
        <v>0</v>
      </c>
      <c r="AE62" s="2">
        <f>D62+G62+J62+Y62+AC62+AD62</f>
        <v>11276907.612585776</v>
      </c>
      <c r="AF62" s="2">
        <f t="shared" si="3"/>
        <v>218175922.61260626</v>
      </c>
    </row>
    <row r="63" spans="1:32" x14ac:dyDescent="0.25">
      <c r="A63">
        <v>61</v>
      </c>
      <c r="B63" s="1">
        <f>Input!$H$78/12</f>
        <v>23070201.542999994</v>
      </c>
      <c r="C63" s="1">
        <f>Input!$H$79/12</f>
        <v>557529.87062249985</v>
      </c>
      <c r="D63" s="2">
        <f>SUM(B63:C63)</f>
        <v>23627731.413622495</v>
      </c>
      <c r="E63" s="1">
        <f>Input!$H$82/12</f>
        <v>-11128343.760125589</v>
      </c>
      <c r="F63" s="1">
        <f>Input!$H$83/12</f>
        <v>-278764.93531124992</v>
      </c>
      <c r="G63" s="2">
        <f>SUM(E63:F63)</f>
        <v>-11407108.695436839</v>
      </c>
      <c r="H63" s="1">
        <f>Input!$H$110/12</f>
        <v>-453716.11296930234</v>
      </c>
      <c r="I63" s="1">
        <f>Input!$H$111/12</f>
        <v>-206389.66041084807</v>
      </c>
      <c r="J63" s="10">
        <f t="shared" si="0"/>
        <v>-660105.77338015044</v>
      </c>
      <c r="K63" s="10">
        <f>IF(ISERROR(HLOOKUP(CFs!A63,Input!$C$115:$L$117,2,FALSE)),0,HLOOKUP(CFs!A63,Input!$C$115:$L$117,2,FALSE))</f>
        <v>-248852.60489729047</v>
      </c>
      <c r="L63" s="10">
        <f>IF(ISERROR(HLOOKUP(CFs!A63,Input!$C$115:$L$117,3,FALSE)),0,HLOOKUP(CFs!A63,Input!$C$115:$L$117,3,FALSE))</f>
        <v>-142740.13051467959</v>
      </c>
      <c r="M63" s="10">
        <f>IF(ISERROR(HLOOKUP(CFs!$A63,Input!$C$119:$L$120,2,FALSE)),0,HLOOKUP(CFs!$A63,Input!$C$119:$L$120,2,FALSE))</f>
        <v>0</v>
      </c>
      <c r="N63" s="10">
        <f>IF(ISERROR(HLOOKUP(CFs!$A63,Input!$C$123:$L$124,2,FALSE)),0,HLOOKUP(CFs!$A63,Input!$C$123:$L$124,2,FALSE))</f>
        <v>0</v>
      </c>
      <c r="O63" s="10">
        <f>IF(ISERROR(HLOOKUP(CFs!$A63,Input!$C$125:$L$126,2,FALSE)),0,HLOOKUP(CFs!$A63,Input!$C$125:$L$126,2,FALSE))</f>
        <v>-522839.18749999983</v>
      </c>
      <c r="P63" s="10">
        <f>IF(ISERROR(HLOOKUP(CFs!$A63,Input!$C$129:$L$130,2,FALSE)),0,HLOOKUP(CFs!$A63,Input!$C$129:$L$130,2,FALSE))</f>
        <v>0</v>
      </c>
      <c r="Q63" s="10">
        <f>IF(ISERROR(HLOOKUP(CFs!$A63,Input!$C$131:$L$132,2,FALSE)),0,HLOOKUP(CFs!$A63,Input!$C$131:$L$132,2,FALSE))</f>
        <v>0</v>
      </c>
      <c r="R63" s="10">
        <f>IF(ISERROR(HLOOKUP(CFs!$A63,Input!$C$135:$L$136,2,FALSE)),0,HLOOKUP(CFs!$A63,Input!$C$135:$L$136,2,FALSE))</f>
        <v>0</v>
      </c>
      <c r="S63" s="10">
        <f>IF(ISERROR(HLOOKUP(CFs!$A63,Input!$C$137:$L$138,2,FALSE)),0,HLOOKUP(CFs!$A63,Input!$C$137:$L$138,2,FALSE))</f>
        <v>0</v>
      </c>
      <c r="T63" s="10">
        <f>IF(ISERROR(HLOOKUP(CFs!$A63,Input!$C$139:$L$140,2,FALSE)),0,HLOOKUP(CFs!$A63,Input!$C$139:$L$140,2,FALSE))</f>
        <v>0</v>
      </c>
      <c r="U63" s="10">
        <f>IF(ISERROR(HLOOKUP(CFs!$A63,Input!$C$141:$L$142,2,FALSE)),0,HLOOKUP(CFs!$A63,Input!$C$141:$L$142,2,FALSE))</f>
        <v>0</v>
      </c>
      <c r="V63" s="10">
        <f>IF(ISERROR(HLOOKUP(CFs!$A63,Input!$C$143:$L$144,2,FALSE)),0,HLOOKUP(CFs!$A63,Input!$C$143:$L$144,2,FALSE))</f>
        <v>0</v>
      </c>
      <c r="W63" s="10">
        <f>IF(ISERROR(HLOOKUP(CFs!$A63,Input!$C$145:$L$146,2,FALSE)),0,HLOOKUP(CFs!$A63,Input!$C$145:$L$146,2,FALSE))</f>
        <v>0</v>
      </c>
      <c r="X63" s="10">
        <f>IF(ISERROR(HLOOKUP(CFs!$A63,Input!$C$147:$L$148,2,FALSE)),0,HLOOKUP(CFs!$A63,Input!$C$147:$L$148,2,FALSE))</f>
        <v>0</v>
      </c>
      <c r="Y63" s="13">
        <f t="shared" si="2"/>
        <v>-914431.92291196994</v>
      </c>
      <c r="Z63" s="10">
        <f>IF(ISERROR(HLOOKUP(CFs!$A63,Input!$C$152:$L$153,2,FALSE)),0,HLOOKUP(CFs!$A63,Input!$C$152:$L$153,2,FALSE))</f>
        <v>0</v>
      </c>
      <c r="AA63" s="10">
        <f>IF(ISERROR(HLOOKUP(CFs!$A63,Input!$C$149:$L$150,2,FALSE)),0,HLOOKUP(CFs!$A63,Input!$C$149:$L$150,2,FALSE))</f>
        <v>0</v>
      </c>
      <c r="AB63" s="10">
        <f>IF(ISERROR(HLOOKUP(CFs!$A63,Input!$C$151:$L$154,2,FALSE)),0,HLOOKUP(CFs!$A63,Input!$C$151:$L$154,2,FALSE))</f>
        <v>0</v>
      </c>
      <c r="AC63">
        <f t="shared" si="1"/>
        <v>0</v>
      </c>
      <c r="AD63" s="1" cm="1">
        <f t="array" ref="AD63">FirmaCashflow(Input!$C$165,Input!$C$166,Input!$C$163,Input!$D$163,CFs!A63)</f>
        <v>0</v>
      </c>
      <c r="AE63" s="2">
        <f>D63+G63+J63+Y63+AC63+AD63</f>
        <v>10646085.021893535</v>
      </c>
      <c r="AF63" s="2">
        <f t="shared" si="3"/>
        <v>228822007.63449979</v>
      </c>
    </row>
    <row r="64" spans="1:32" x14ac:dyDescent="0.25">
      <c r="A64">
        <v>62</v>
      </c>
      <c r="B64" s="1">
        <f>Input!$H$78/12</f>
        <v>23070201.542999994</v>
      </c>
      <c r="C64" s="1">
        <f>Input!$H$79/12</f>
        <v>557529.87062249985</v>
      </c>
      <c r="D64" s="2">
        <f>SUM(B64:C64)</f>
        <v>23627731.413622495</v>
      </c>
      <c r="E64" s="1">
        <f>Input!$H$82/12</f>
        <v>-11128343.760125589</v>
      </c>
      <c r="F64" s="1">
        <f>Input!$H$83/12</f>
        <v>-278764.93531124992</v>
      </c>
      <c r="G64" s="2">
        <f>SUM(E64:F64)</f>
        <v>-11407108.695436839</v>
      </c>
      <c r="H64" s="1">
        <f>Input!$H$110/12</f>
        <v>-453716.11296930234</v>
      </c>
      <c r="I64" s="1">
        <f>Input!$H$111/12</f>
        <v>-206389.66041084807</v>
      </c>
      <c r="J64" s="10">
        <f t="shared" si="0"/>
        <v>-660105.77338015044</v>
      </c>
      <c r="K64" s="10">
        <f>IF(ISERROR(HLOOKUP(CFs!A64,Input!$C$115:$L$117,2,FALSE)),0,HLOOKUP(CFs!A64,Input!$C$115:$L$117,2,FALSE))</f>
        <v>0</v>
      </c>
      <c r="L64" s="10">
        <f>IF(ISERROR(HLOOKUP(CFs!A64,Input!$C$115:$L$117,3,FALSE)),0,HLOOKUP(CFs!A64,Input!$C$115:$L$117,3,FALSE))</f>
        <v>0</v>
      </c>
      <c r="M64" s="10">
        <f>IF(ISERROR(HLOOKUP(CFs!$A64,Input!$C$119:$L$120,2,FALSE)),0,HLOOKUP(CFs!$A64,Input!$C$119:$L$120,2,FALSE))</f>
        <v>0</v>
      </c>
      <c r="N64" s="10">
        <f>IF(ISERROR(HLOOKUP(CFs!$A64,Input!$C$123:$L$124,2,FALSE)),0,HLOOKUP(CFs!$A64,Input!$C$123:$L$124,2,FALSE))</f>
        <v>0</v>
      </c>
      <c r="O64" s="10">
        <f>IF(ISERROR(HLOOKUP(CFs!$A64,Input!$C$125:$L$126,2,FALSE)),0,HLOOKUP(CFs!$A64,Input!$C$125:$L$126,2,FALSE))</f>
        <v>0</v>
      </c>
      <c r="P64" s="10">
        <f>IF(ISERROR(HLOOKUP(CFs!$A64,Input!$C$129:$L$130,2,FALSE)),0,HLOOKUP(CFs!$A64,Input!$C$129:$L$130,2,FALSE))</f>
        <v>0</v>
      </c>
      <c r="Q64" s="10">
        <f>IF(ISERROR(HLOOKUP(CFs!$A64,Input!$C$131:$L$132,2,FALSE)),0,HLOOKUP(CFs!$A64,Input!$C$131:$L$132,2,FALSE))</f>
        <v>0</v>
      </c>
      <c r="R64" s="10">
        <f>IF(ISERROR(HLOOKUP(CFs!$A64,Input!$C$135:$L$136,2,FALSE)),0,HLOOKUP(CFs!$A64,Input!$C$135:$L$136,2,FALSE))</f>
        <v>0</v>
      </c>
      <c r="S64" s="10">
        <f>IF(ISERROR(HLOOKUP(CFs!$A64,Input!$C$137:$L$138,2,FALSE)),0,HLOOKUP(CFs!$A64,Input!$C$137:$L$138,2,FALSE))</f>
        <v>0</v>
      </c>
      <c r="T64" s="10">
        <f>IF(ISERROR(HLOOKUP(CFs!$A64,Input!$C$139:$L$140,2,FALSE)),0,HLOOKUP(CFs!$A64,Input!$C$139:$L$140,2,FALSE))</f>
        <v>0</v>
      </c>
      <c r="U64" s="10">
        <f>IF(ISERROR(HLOOKUP(CFs!$A64,Input!$C$141:$L$142,2,FALSE)),0,HLOOKUP(CFs!$A64,Input!$C$141:$L$142,2,FALSE))</f>
        <v>0</v>
      </c>
      <c r="V64" s="10">
        <f>IF(ISERROR(HLOOKUP(CFs!$A64,Input!$C$143:$L$144,2,FALSE)),0,HLOOKUP(CFs!$A64,Input!$C$143:$L$144,2,FALSE))</f>
        <v>0</v>
      </c>
      <c r="W64" s="10">
        <f>IF(ISERROR(HLOOKUP(CFs!$A64,Input!$C$145:$L$146,2,FALSE)),0,HLOOKUP(CFs!$A64,Input!$C$145:$L$146,2,FALSE))</f>
        <v>0</v>
      </c>
      <c r="X64" s="10">
        <f>IF(ISERROR(HLOOKUP(CFs!$A64,Input!$C$147:$L$148,2,FALSE)),0,HLOOKUP(CFs!$A64,Input!$C$147:$L$148,2,FALSE))</f>
        <v>0</v>
      </c>
      <c r="Y64" s="13">
        <f t="shared" si="2"/>
        <v>0</v>
      </c>
      <c r="Z64" s="10">
        <f>IF(ISERROR(HLOOKUP(CFs!$A64,Input!$C$152:$L$153,2,FALSE)),0,HLOOKUP(CFs!$A64,Input!$C$152:$L$153,2,FALSE))</f>
        <v>0</v>
      </c>
      <c r="AA64" s="10">
        <f>IF(ISERROR(HLOOKUP(CFs!$A64,Input!$C$149:$L$150,2,FALSE)),0,HLOOKUP(CFs!$A64,Input!$C$149:$L$150,2,FALSE))</f>
        <v>0</v>
      </c>
      <c r="AB64" s="10">
        <f>IF(ISERROR(HLOOKUP(CFs!$A64,Input!$C$151:$L$154,2,FALSE)),0,HLOOKUP(CFs!$A64,Input!$C$151:$L$154,2,FALSE))</f>
        <v>0</v>
      </c>
      <c r="AC64">
        <f t="shared" si="1"/>
        <v>0</v>
      </c>
      <c r="AD64" s="1" cm="1">
        <f t="array" ref="AD64">FirmaCashflow(Input!$C$165,Input!$C$166,Input!$C$163,Input!$D$163,CFs!A64)</f>
        <v>0</v>
      </c>
      <c r="AE64" s="2">
        <f>D64+G64+J64+Y64+AC64+AD64</f>
        <v>11560516.944805505</v>
      </c>
      <c r="AF64" s="2">
        <f t="shared" si="3"/>
        <v>240382524.57930529</v>
      </c>
    </row>
    <row r="65" spans="1:32" x14ac:dyDescent="0.25">
      <c r="A65">
        <v>63</v>
      </c>
      <c r="B65" s="1">
        <f>Input!$H$78/12</f>
        <v>23070201.542999994</v>
      </c>
      <c r="C65" s="1">
        <f>Input!$H$79/12</f>
        <v>557529.87062249985</v>
      </c>
      <c r="D65" s="2">
        <f>SUM(B65:C65)</f>
        <v>23627731.413622495</v>
      </c>
      <c r="E65" s="1">
        <f>Input!$H$82/12</f>
        <v>-11128343.760125589</v>
      </c>
      <c r="F65" s="1">
        <f>Input!$H$83/12</f>
        <v>-278764.93531124992</v>
      </c>
      <c r="G65" s="2">
        <f>SUM(E65:F65)</f>
        <v>-11407108.695436839</v>
      </c>
      <c r="H65" s="1">
        <f>Input!$H$110/12</f>
        <v>-453716.11296930234</v>
      </c>
      <c r="I65" s="1">
        <f>Input!$H$111/12</f>
        <v>-206389.66041084807</v>
      </c>
      <c r="J65" s="10">
        <f t="shared" si="0"/>
        <v>-660105.77338015044</v>
      </c>
      <c r="K65" s="10">
        <f>IF(ISERROR(HLOOKUP(CFs!A65,Input!$C$115:$L$117,2,FALSE)),0,HLOOKUP(CFs!A65,Input!$C$115:$L$117,2,FALSE))</f>
        <v>0</v>
      </c>
      <c r="L65" s="10">
        <f>IF(ISERROR(HLOOKUP(CFs!A65,Input!$C$115:$L$117,3,FALSE)),0,HLOOKUP(CFs!A65,Input!$C$115:$L$117,3,FALSE))</f>
        <v>0</v>
      </c>
      <c r="M65" s="10">
        <f>IF(ISERROR(HLOOKUP(CFs!$A65,Input!$C$119:$L$120,2,FALSE)),0,HLOOKUP(CFs!$A65,Input!$C$119:$L$120,2,FALSE))</f>
        <v>0</v>
      </c>
      <c r="N65" s="10">
        <f>IF(ISERROR(HLOOKUP(CFs!$A65,Input!$C$123:$L$124,2,FALSE)),0,HLOOKUP(CFs!$A65,Input!$C$123:$L$124,2,FALSE))</f>
        <v>0</v>
      </c>
      <c r="O65" s="10">
        <f>IF(ISERROR(HLOOKUP(CFs!$A65,Input!$C$125:$L$126,2,FALSE)),0,HLOOKUP(CFs!$A65,Input!$C$125:$L$126,2,FALSE))</f>
        <v>0</v>
      </c>
      <c r="P65" s="10">
        <f>IF(ISERROR(HLOOKUP(CFs!$A65,Input!$C$129:$L$130,2,FALSE)),0,HLOOKUP(CFs!$A65,Input!$C$129:$L$130,2,FALSE))</f>
        <v>0</v>
      </c>
      <c r="Q65" s="10">
        <f>IF(ISERROR(HLOOKUP(CFs!$A65,Input!$C$131:$L$132,2,FALSE)),0,HLOOKUP(CFs!$A65,Input!$C$131:$L$132,2,FALSE))</f>
        <v>0</v>
      </c>
      <c r="R65" s="10">
        <f>IF(ISERROR(HLOOKUP(CFs!$A65,Input!$C$135:$L$136,2,FALSE)),0,HLOOKUP(CFs!$A65,Input!$C$135:$L$136,2,FALSE))</f>
        <v>0</v>
      </c>
      <c r="S65" s="10">
        <f>IF(ISERROR(HLOOKUP(CFs!$A65,Input!$C$137:$L$138,2,FALSE)),0,HLOOKUP(CFs!$A65,Input!$C$137:$L$138,2,FALSE))</f>
        <v>0</v>
      </c>
      <c r="T65" s="10">
        <f>IF(ISERROR(HLOOKUP(CFs!$A65,Input!$C$139:$L$140,2,FALSE)),0,HLOOKUP(CFs!$A65,Input!$C$139:$L$140,2,FALSE))</f>
        <v>0</v>
      </c>
      <c r="U65" s="10">
        <f>IF(ISERROR(HLOOKUP(CFs!$A65,Input!$C$141:$L$142,2,FALSE)),0,HLOOKUP(CFs!$A65,Input!$C$141:$L$142,2,FALSE))</f>
        <v>0</v>
      </c>
      <c r="V65" s="10">
        <f>IF(ISERROR(HLOOKUP(CFs!$A65,Input!$C$143:$L$144,2,FALSE)),0,HLOOKUP(CFs!$A65,Input!$C$143:$L$144,2,FALSE))</f>
        <v>0</v>
      </c>
      <c r="W65" s="10">
        <f>IF(ISERROR(HLOOKUP(CFs!$A65,Input!$C$145:$L$146,2,FALSE)),0,HLOOKUP(CFs!$A65,Input!$C$145:$L$146,2,FALSE))</f>
        <v>0</v>
      </c>
      <c r="X65" s="10">
        <f>IF(ISERROR(HLOOKUP(CFs!$A65,Input!$C$147:$L$148,2,FALSE)),0,HLOOKUP(CFs!$A65,Input!$C$147:$L$148,2,FALSE))</f>
        <v>0</v>
      </c>
      <c r="Y65" s="13">
        <f t="shared" si="2"/>
        <v>0</v>
      </c>
      <c r="Z65" s="10">
        <f>IF(ISERROR(HLOOKUP(CFs!$A65,Input!$C$152:$L$153,2,FALSE)),0,HLOOKUP(CFs!$A65,Input!$C$152:$L$153,2,FALSE))</f>
        <v>0</v>
      </c>
      <c r="AA65" s="10">
        <f>IF(ISERROR(HLOOKUP(CFs!$A65,Input!$C$149:$L$150,2,FALSE)),0,HLOOKUP(CFs!$A65,Input!$C$149:$L$150,2,FALSE))</f>
        <v>0</v>
      </c>
      <c r="AB65" s="10">
        <f>IF(ISERROR(HLOOKUP(CFs!$A65,Input!$C$151:$L$154,2,FALSE)),0,HLOOKUP(CFs!$A65,Input!$C$151:$L$154,2,FALSE))</f>
        <v>0</v>
      </c>
      <c r="AC65">
        <f t="shared" si="1"/>
        <v>0</v>
      </c>
      <c r="AD65" s="1" cm="1">
        <f t="array" ref="AD65">FirmaCashflow(Input!$C$165,Input!$C$166,Input!$C$163,Input!$D$163,CFs!A65)</f>
        <v>0</v>
      </c>
      <c r="AE65" s="2">
        <f>D65+G65+J65+Y65+AC65+AD65</f>
        <v>11560516.944805505</v>
      </c>
      <c r="AF65" s="2">
        <f t="shared" si="3"/>
        <v>251943041.52411079</v>
      </c>
    </row>
    <row r="66" spans="1:32" x14ac:dyDescent="0.25">
      <c r="A66">
        <v>64</v>
      </c>
      <c r="B66" s="1">
        <f>Input!$H$78/12</f>
        <v>23070201.542999994</v>
      </c>
      <c r="C66" s="1">
        <f>Input!$H$79/12</f>
        <v>557529.87062249985</v>
      </c>
      <c r="D66" s="2">
        <f>SUM(B66:C66)</f>
        <v>23627731.413622495</v>
      </c>
      <c r="E66" s="1">
        <f>Input!$H$82/12</f>
        <v>-11128343.760125589</v>
      </c>
      <c r="F66" s="1">
        <f>Input!$H$83/12</f>
        <v>-278764.93531124992</v>
      </c>
      <c r="G66" s="2">
        <f>SUM(E66:F66)</f>
        <v>-11407108.695436839</v>
      </c>
      <c r="H66" s="1">
        <f>Input!$H$110/12</f>
        <v>-453716.11296930234</v>
      </c>
      <c r="I66" s="1">
        <f>Input!$H$111/12</f>
        <v>-206389.66041084807</v>
      </c>
      <c r="J66" s="10">
        <f t="shared" si="0"/>
        <v>-660105.77338015044</v>
      </c>
      <c r="K66" s="10">
        <f>IF(ISERROR(HLOOKUP(CFs!A66,Input!$C$115:$L$117,2,FALSE)),0,HLOOKUP(CFs!A66,Input!$C$115:$L$117,2,FALSE))</f>
        <v>0</v>
      </c>
      <c r="L66" s="10">
        <f>IF(ISERROR(HLOOKUP(CFs!A66,Input!$C$115:$L$117,3,FALSE)),0,HLOOKUP(CFs!A66,Input!$C$115:$L$117,3,FALSE))</f>
        <v>0</v>
      </c>
      <c r="M66" s="10">
        <f>IF(ISERROR(HLOOKUP(CFs!$A66,Input!$C$119:$L$120,2,FALSE)),0,HLOOKUP(CFs!$A66,Input!$C$119:$L$120,2,FALSE))</f>
        <v>0</v>
      </c>
      <c r="N66" s="10">
        <f>IF(ISERROR(HLOOKUP(CFs!$A66,Input!$C$123:$L$124,2,FALSE)),0,HLOOKUP(CFs!$A66,Input!$C$123:$L$124,2,FALSE))</f>
        <v>0</v>
      </c>
      <c r="O66" s="10">
        <f>IF(ISERROR(HLOOKUP(CFs!$A66,Input!$C$125:$L$126,2,FALSE)),0,HLOOKUP(CFs!$A66,Input!$C$125:$L$126,2,FALSE))</f>
        <v>0</v>
      </c>
      <c r="P66" s="10">
        <f>IF(ISERROR(HLOOKUP(CFs!$A66,Input!$C$129:$L$130,2,FALSE)),0,HLOOKUP(CFs!$A66,Input!$C$129:$L$130,2,FALSE))</f>
        <v>0</v>
      </c>
      <c r="Q66" s="10">
        <f>IF(ISERROR(HLOOKUP(CFs!$A66,Input!$C$131:$L$132,2,FALSE)),0,HLOOKUP(CFs!$A66,Input!$C$131:$L$132,2,FALSE))</f>
        <v>0</v>
      </c>
      <c r="R66" s="10">
        <f>IF(ISERROR(HLOOKUP(CFs!$A66,Input!$C$135:$L$136,2,FALSE)),0,HLOOKUP(CFs!$A66,Input!$C$135:$L$136,2,FALSE))</f>
        <v>0</v>
      </c>
      <c r="S66" s="10">
        <f>IF(ISERROR(HLOOKUP(CFs!$A66,Input!$C$137:$L$138,2,FALSE)),0,HLOOKUP(CFs!$A66,Input!$C$137:$L$138,2,FALSE))</f>
        <v>0</v>
      </c>
      <c r="T66" s="10">
        <f>IF(ISERROR(HLOOKUP(CFs!$A66,Input!$C$139:$L$140,2,FALSE)),0,HLOOKUP(CFs!$A66,Input!$C$139:$L$140,2,FALSE))</f>
        <v>0</v>
      </c>
      <c r="U66" s="10">
        <f>IF(ISERROR(HLOOKUP(CFs!$A66,Input!$C$141:$L$142,2,FALSE)),0,HLOOKUP(CFs!$A66,Input!$C$141:$L$142,2,FALSE))</f>
        <v>0</v>
      </c>
      <c r="V66" s="10">
        <f>IF(ISERROR(HLOOKUP(CFs!$A66,Input!$C$143:$L$144,2,FALSE)),0,HLOOKUP(CFs!$A66,Input!$C$143:$L$144,2,FALSE))</f>
        <v>0</v>
      </c>
      <c r="W66" s="10">
        <f>IF(ISERROR(HLOOKUP(CFs!$A66,Input!$C$145:$L$146,2,FALSE)),0,HLOOKUP(CFs!$A66,Input!$C$145:$L$146,2,FALSE))</f>
        <v>0</v>
      </c>
      <c r="X66" s="10">
        <f>IF(ISERROR(HLOOKUP(CFs!$A66,Input!$C$147:$L$148,2,FALSE)),0,HLOOKUP(CFs!$A66,Input!$C$147:$L$148,2,FALSE))</f>
        <v>0</v>
      </c>
      <c r="Y66" s="13">
        <f t="shared" si="2"/>
        <v>0</v>
      </c>
      <c r="Z66" s="10">
        <f>IF(ISERROR(HLOOKUP(CFs!$A66,Input!$C$152:$L$153,2,FALSE)),0,HLOOKUP(CFs!$A66,Input!$C$152:$L$153,2,FALSE))</f>
        <v>0</v>
      </c>
      <c r="AA66" s="10">
        <f>IF(ISERROR(HLOOKUP(CFs!$A66,Input!$C$149:$L$150,2,FALSE)),0,HLOOKUP(CFs!$A66,Input!$C$149:$L$150,2,FALSE))</f>
        <v>0</v>
      </c>
      <c r="AB66" s="10">
        <f>IF(ISERROR(HLOOKUP(CFs!$A66,Input!$C$151:$L$154,2,FALSE)),0,HLOOKUP(CFs!$A66,Input!$C$151:$L$154,2,FALSE))</f>
        <v>0</v>
      </c>
      <c r="AC66">
        <f t="shared" si="1"/>
        <v>0</v>
      </c>
      <c r="AD66" s="1" cm="1">
        <f t="array" ref="AD66">FirmaCashflow(Input!$C$165,Input!$C$166,Input!$C$163,Input!$D$163,CFs!A66)</f>
        <v>0</v>
      </c>
      <c r="AE66" s="2">
        <f>D66+G66+J66+Y66+AC66+AD66</f>
        <v>11560516.944805505</v>
      </c>
      <c r="AF66" s="2">
        <f t="shared" si="3"/>
        <v>263503558.4689163</v>
      </c>
    </row>
    <row r="67" spans="1:32" x14ac:dyDescent="0.25">
      <c r="A67">
        <v>65</v>
      </c>
      <c r="B67" s="1">
        <f>Input!$H$78/12</f>
        <v>23070201.542999994</v>
      </c>
      <c r="C67" s="1">
        <f>Input!$H$79/12</f>
        <v>557529.87062249985</v>
      </c>
      <c r="D67" s="2">
        <f>SUM(B67:C67)</f>
        <v>23627731.413622495</v>
      </c>
      <c r="E67" s="1">
        <f>Input!$H$82/12</f>
        <v>-11128343.760125589</v>
      </c>
      <c r="F67" s="1">
        <f>Input!$H$83/12</f>
        <v>-278764.93531124992</v>
      </c>
      <c r="G67" s="2">
        <f>SUM(E67:F67)</f>
        <v>-11407108.695436839</v>
      </c>
      <c r="H67" s="1">
        <f>Input!$H$110/12</f>
        <v>-453716.11296930234</v>
      </c>
      <c r="I67" s="1">
        <f>Input!$H$111/12</f>
        <v>-206389.66041084807</v>
      </c>
      <c r="J67" s="10">
        <f t="shared" ref="J67:J122" si="4">SUM(H67:I67)</f>
        <v>-660105.77338015044</v>
      </c>
      <c r="K67" s="10">
        <f>IF(ISERROR(HLOOKUP(CFs!A67,Input!$C$115:$L$117,2,FALSE)),0,HLOOKUP(CFs!A67,Input!$C$115:$L$117,2,FALSE))</f>
        <v>0</v>
      </c>
      <c r="L67" s="10">
        <f>IF(ISERROR(HLOOKUP(CFs!A67,Input!$C$115:$L$117,3,FALSE)),0,HLOOKUP(CFs!A67,Input!$C$115:$L$117,3,FALSE))</f>
        <v>0</v>
      </c>
      <c r="M67" s="10">
        <f>IF(ISERROR(HLOOKUP(CFs!$A67,Input!$C$119:$L$120,2,FALSE)),0,HLOOKUP(CFs!$A67,Input!$C$119:$L$120,2,FALSE))</f>
        <v>0</v>
      </c>
      <c r="N67" s="10">
        <f>IF(ISERROR(HLOOKUP(CFs!$A67,Input!$C$123:$L$124,2,FALSE)),0,HLOOKUP(CFs!$A67,Input!$C$123:$L$124,2,FALSE))</f>
        <v>0</v>
      </c>
      <c r="O67" s="10">
        <f>IF(ISERROR(HLOOKUP(CFs!$A67,Input!$C$125:$L$126,2,FALSE)),0,HLOOKUP(CFs!$A67,Input!$C$125:$L$126,2,FALSE))</f>
        <v>0</v>
      </c>
      <c r="P67" s="10">
        <f>IF(ISERROR(HLOOKUP(CFs!$A67,Input!$C$129:$L$130,2,FALSE)),0,HLOOKUP(CFs!$A67,Input!$C$129:$L$130,2,FALSE))</f>
        <v>0</v>
      </c>
      <c r="Q67" s="10">
        <f>IF(ISERROR(HLOOKUP(CFs!$A67,Input!$C$131:$L$132,2,FALSE)),0,HLOOKUP(CFs!$A67,Input!$C$131:$L$132,2,FALSE))</f>
        <v>0</v>
      </c>
      <c r="R67" s="10">
        <f>IF(ISERROR(HLOOKUP(CFs!$A67,Input!$C$135:$L$136,2,FALSE)),0,HLOOKUP(CFs!$A67,Input!$C$135:$L$136,2,FALSE))</f>
        <v>0</v>
      </c>
      <c r="S67" s="10">
        <f>IF(ISERROR(HLOOKUP(CFs!$A67,Input!$C$137:$L$138,2,FALSE)),0,HLOOKUP(CFs!$A67,Input!$C$137:$L$138,2,FALSE))</f>
        <v>0</v>
      </c>
      <c r="T67" s="10">
        <f>IF(ISERROR(HLOOKUP(CFs!$A67,Input!$C$139:$L$140,2,FALSE)),0,HLOOKUP(CFs!$A67,Input!$C$139:$L$140,2,FALSE))</f>
        <v>0</v>
      </c>
      <c r="U67" s="10">
        <f>IF(ISERROR(HLOOKUP(CFs!$A67,Input!$C$141:$L$142,2,FALSE)),0,HLOOKUP(CFs!$A67,Input!$C$141:$L$142,2,FALSE))</f>
        <v>0</v>
      </c>
      <c r="V67" s="10">
        <f>IF(ISERROR(HLOOKUP(CFs!$A67,Input!$C$143:$L$144,2,FALSE)),0,HLOOKUP(CFs!$A67,Input!$C$143:$L$144,2,FALSE))</f>
        <v>0</v>
      </c>
      <c r="W67" s="10">
        <f>IF(ISERROR(HLOOKUP(CFs!$A67,Input!$C$145:$L$146,2,FALSE)),0,HLOOKUP(CFs!$A67,Input!$C$145:$L$146,2,FALSE))</f>
        <v>0</v>
      </c>
      <c r="X67" s="10">
        <f>IF(ISERROR(HLOOKUP(CFs!$A67,Input!$C$147:$L$148,2,FALSE)),0,HLOOKUP(CFs!$A67,Input!$C$147:$L$148,2,FALSE))</f>
        <v>0</v>
      </c>
      <c r="Y67" s="13">
        <f t="shared" si="2"/>
        <v>0</v>
      </c>
      <c r="Z67" s="10">
        <f>IF(ISERROR(HLOOKUP(CFs!$A67,Input!$C$152:$L$153,2,FALSE)),0,HLOOKUP(CFs!$A67,Input!$C$152:$L$153,2,FALSE))</f>
        <v>0</v>
      </c>
      <c r="AA67" s="10">
        <f>IF(ISERROR(HLOOKUP(CFs!$A67,Input!$C$149:$L$150,2,FALSE)),0,HLOOKUP(CFs!$A67,Input!$C$149:$L$150,2,FALSE))</f>
        <v>0</v>
      </c>
      <c r="AB67" s="10">
        <f>IF(ISERROR(HLOOKUP(CFs!$A67,Input!$C$151:$L$154,2,FALSE)),0,HLOOKUP(CFs!$A67,Input!$C$151:$L$154,2,FALSE))</f>
        <v>0</v>
      </c>
      <c r="AC67">
        <f t="shared" ref="AC67:AC122" si="5">SUM(Z67:AB67)</f>
        <v>0</v>
      </c>
      <c r="AD67" s="1" cm="1">
        <f t="array" ref="AD67">FirmaCashflow(Input!$C$165,Input!$C$166,Input!$C$163,Input!$D$163,CFs!A67)</f>
        <v>0</v>
      </c>
      <c r="AE67" s="2">
        <f>D67+G67+J67+Y67+AC67+AD67</f>
        <v>11560516.944805505</v>
      </c>
      <c r="AF67" s="2">
        <f t="shared" si="3"/>
        <v>275064075.4137218</v>
      </c>
    </row>
    <row r="68" spans="1:32" x14ac:dyDescent="0.25">
      <c r="A68">
        <v>66</v>
      </c>
      <c r="B68" s="1">
        <f>Input!$H$78/12</f>
        <v>23070201.542999994</v>
      </c>
      <c r="C68" s="1">
        <f>Input!$H$79/12</f>
        <v>557529.87062249985</v>
      </c>
      <c r="D68" s="2">
        <f>SUM(B68:C68)</f>
        <v>23627731.413622495</v>
      </c>
      <c r="E68" s="1">
        <f>Input!$H$82/12</f>
        <v>-11128343.760125589</v>
      </c>
      <c r="F68" s="1">
        <f>Input!$H$83/12</f>
        <v>-278764.93531124992</v>
      </c>
      <c r="G68" s="2">
        <f>SUM(E68:F68)</f>
        <v>-11407108.695436839</v>
      </c>
      <c r="H68" s="1">
        <f>Input!$H$110/12</f>
        <v>-453716.11296930234</v>
      </c>
      <c r="I68" s="1">
        <f>Input!$H$111/12</f>
        <v>-206389.66041084807</v>
      </c>
      <c r="J68" s="10">
        <f t="shared" si="4"/>
        <v>-660105.77338015044</v>
      </c>
      <c r="K68" s="10">
        <f>IF(ISERROR(HLOOKUP(CFs!A68,Input!$C$115:$L$117,2,FALSE)),0,HLOOKUP(CFs!A68,Input!$C$115:$L$117,2,FALSE))</f>
        <v>0</v>
      </c>
      <c r="L68" s="10">
        <f>IF(ISERROR(HLOOKUP(CFs!A68,Input!$C$115:$L$117,3,FALSE)),0,HLOOKUP(CFs!A68,Input!$C$115:$L$117,3,FALSE))</f>
        <v>0</v>
      </c>
      <c r="M68" s="10">
        <f>IF(ISERROR(HLOOKUP(CFs!$A68,Input!$C$119:$L$120,2,FALSE)),0,HLOOKUP(CFs!$A68,Input!$C$119:$L$120,2,FALSE))</f>
        <v>-627407.02499999979</v>
      </c>
      <c r="N68" s="10">
        <f>IF(ISERROR(HLOOKUP(CFs!$A68,Input!$C$123:$L$124,2,FALSE)),0,HLOOKUP(CFs!$A68,Input!$C$123:$L$124,2,FALSE))</f>
        <v>0</v>
      </c>
      <c r="O68" s="10">
        <f>IF(ISERROR(HLOOKUP(CFs!$A68,Input!$C$125:$L$126,2,FALSE)),0,HLOOKUP(CFs!$A68,Input!$C$125:$L$126,2,FALSE))</f>
        <v>0</v>
      </c>
      <c r="P68" s="10">
        <f>IF(ISERROR(HLOOKUP(CFs!$A68,Input!$C$129:$L$130,2,FALSE)),0,HLOOKUP(CFs!$A68,Input!$C$129:$L$130,2,FALSE))</f>
        <v>0</v>
      </c>
      <c r="Q68" s="10">
        <f>IF(ISERROR(HLOOKUP(CFs!$A68,Input!$C$131:$L$132,2,FALSE)),0,HLOOKUP(CFs!$A68,Input!$C$131:$L$132,2,FALSE))</f>
        <v>0</v>
      </c>
      <c r="R68" s="10">
        <f>IF(ISERROR(HLOOKUP(CFs!$A68,Input!$C$135:$L$136,2,FALSE)),0,HLOOKUP(CFs!$A68,Input!$C$135:$L$136,2,FALSE))</f>
        <v>0</v>
      </c>
      <c r="S68" s="10">
        <f>IF(ISERROR(HLOOKUP(CFs!$A68,Input!$C$137:$L$138,2,FALSE)),0,HLOOKUP(CFs!$A68,Input!$C$137:$L$138,2,FALSE))</f>
        <v>0</v>
      </c>
      <c r="T68" s="10">
        <f>IF(ISERROR(HLOOKUP(CFs!$A68,Input!$C$139:$L$140,2,FALSE)),0,HLOOKUP(CFs!$A68,Input!$C$139:$L$140,2,FALSE))</f>
        <v>0</v>
      </c>
      <c r="U68" s="10">
        <f>IF(ISERROR(HLOOKUP(CFs!$A68,Input!$C$141:$L$142,2,FALSE)),0,HLOOKUP(CFs!$A68,Input!$C$141:$L$142,2,FALSE))</f>
        <v>0</v>
      </c>
      <c r="V68" s="10">
        <f>IF(ISERROR(HLOOKUP(CFs!$A68,Input!$C$143:$L$144,2,FALSE)),0,HLOOKUP(CFs!$A68,Input!$C$143:$L$144,2,FALSE))</f>
        <v>0</v>
      </c>
      <c r="W68" s="10">
        <f>IF(ISERROR(HLOOKUP(CFs!$A68,Input!$C$145:$L$146,2,FALSE)),0,HLOOKUP(CFs!$A68,Input!$C$145:$L$146,2,FALSE))</f>
        <v>0</v>
      </c>
      <c r="X68" s="10">
        <f>IF(ISERROR(HLOOKUP(CFs!$A68,Input!$C$147:$L$148,2,FALSE)),0,HLOOKUP(CFs!$A68,Input!$C$147:$L$148,2,FALSE))</f>
        <v>0</v>
      </c>
      <c r="Y68" s="13">
        <f t="shared" ref="Y68:Y122" si="6">SUM(K68:X68)</f>
        <v>-627407.02499999979</v>
      </c>
      <c r="Z68" s="10">
        <f>IF(ISERROR(HLOOKUP(CFs!$A68,Input!$C$152:$L$153,2,FALSE)),0,HLOOKUP(CFs!$A68,Input!$C$152:$L$153,2,FALSE))</f>
        <v>0</v>
      </c>
      <c r="AA68" s="10">
        <f>IF(ISERROR(HLOOKUP(CFs!$A68,Input!$C$149:$L$150,2,FALSE)),0,HLOOKUP(CFs!$A68,Input!$C$149:$L$150,2,FALSE))</f>
        <v>0</v>
      </c>
      <c r="AB68" s="10">
        <f>IF(ISERROR(HLOOKUP(CFs!$A68,Input!$C$151:$L$154,2,FALSE)),0,HLOOKUP(CFs!$A68,Input!$C$151:$L$154,2,FALSE))</f>
        <v>0</v>
      </c>
      <c r="AC68">
        <f t="shared" si="5"/>
        <v>0</v>
      </c>
      <c r="AD68" s="1" cm="1">
        <f t="array" ref="AD68">FirmaCashflow(Input!$C$165,Input!$C$166,Input!$C$163,Input!$D$163,CFs!A68)</f>
        <v>0</v>
      </c>
      <c r="AE68" s="2">
        <f>D68+G68+J68+Y68+AC68+AD68</f>
        <v>10933109.919805504</v>
      </c>
      <c r="AF68" s="2">
        <f t="shared" si="3"/>
        <v>285997185.33352733</v>
      </c>
    </row>
    <row r="69" spans="1:32" x14ac:dyDescent="0.25">
      <c r="A69">
        <v>67</v>
      </c>
      <c r="B69" s="1">
        <f>Input!$H$78/12</f>
        <v>23070201.542999994</v>
      </c>
      <c r="C69" s="1">
        <f>Input!$H$79/12</f>
        <v>557529.87062249985</v>
      </c>
      <c r="D69" s="2">
        <f>SUM(B69:C69)</f>
        <v>23627731.413622495</v>
      </c>
      <c r="E69" s="1">
        <f>Input!$H$82/12</f>
        <v>-11128343.760125589</v>
      </c>
      <c r="F69" s="1">
        <f>Input!$H$83/12</f>
        <v>-278764.93531124992</v>
      </c>
      <c r="G69" s="2">
        <f>SUM(E69:F69)</f>
        <v>-11407108.695436839</v>
      </c>
      <c r="H69" s="1">
        <f>Input!$H$110/12</f>
        <v>-453716.11296930234</v>
      </c>
      <c r="I69" s="1">
        <f>Input!$H$111/12</f>
        <v>-206389.66041084807</v>
      </c>
      <c r="J69" s="10">
        <f t="shared" si="4"/>
        <v>-660105.77338015044</v>
      </c>
      <c r="K69" s="10">
        <f>IF(ISERROR(HLOOKUP(CFs!A69,Input!$C$115:$L$117,2,FALSE)),0,HLOOKUP(CFs!A69,Input!$C$115:$L$117,2,FALSE))</f>
        <v>0</v>
      </c>
      <c r="L69" s="10">
        <f>IF(ISERROR(HLOOKUP(CFs!A69,Input!$C$115:$L$117,3,FALSE)),0,HLOOKUP(CFs!A69,Input!$C$115:$L$117,3,FALSE))</f>
        <v>0</v>
      </c>
      <c r="M69" s="10">
        <f>IF(ISERROR(HLOOKUP(CFs!$A69,Input!$C$119:$L$120,2,FALSE)),0,HLOOKUP(CFs!$A69,Input!$C$119:$L$120,2,FALSE))</f>
        <v>0</v>
      </c>
      <c r="N69" s="10">
        <f>IF(ISERROR(HLOOKUP(CFs!$A69,Input!$C$123:$L$124,2,FALSE)),0,HLOOKUP(CFs!$A69,Input!$C$123:$L$124,2,FALSE))</f>
        <v>0</v>
      </c>
      <c r="O69" s="10">
        <f>IF(ISERROR(HLOOKUP(CFs!$A69,Input!$C$125:$L$126,2,FALSE)),0,HLOOKUP(CFs!$A69,Input!$C$125:$L$126,2,FALSE))</f>
        <v>0</v>
      </c>
      <c r="P69" s="10">
        <f>IF(ISERROR(HLOOKUP(CFs!$A69,Input!$C$129:$L$130,2,FALSE)),0,HLOOKUP(CFs!$A69,Input!$C$129:$L$130,2,FALSE))</f>
        <v>0</v>
      </c>
      <c r="Q69" s="10">
        <f>IF(ISERROR(HLOOKUP(CFs!$A69,Input!$C$131:$L$132,2,FALSE)),0,HLOOKUP(CFs!$A69,Input!$C$131:$L$132,2,FALSE))</f>
        <v>0</v>
      </c>
      <c r="R69" s="10">
        <f>IF(ISERROR(HLOOKUP(CFs!$A69,Input!$C$135:$L$136,2,FALSE)),0,HLOOKUP(CFs!$A69,Input!$C$135:$L$136,2,FALSE))</f>
        <v>0</v>
      </c>
      <c r="S69" s="10">
        <f>IF(ISERROR(HLOOKUP(CFs!$A69,Input!$C$137:$L$138,2,FALSE)),0,HLOOKUP(CFs!$A69,Input!$C$137:$L$138,2,FALSE))</f>
        <v>0</v>
      </c>
      <c r="T69" s="10">
        <f>IF(ISERROR(HLOOKUP(CFs!$A69,Input!$C$139:$L$140,2,FALSE)),0,HLOOKUP(CFs!$A69,Input!$C$139:$L$140,2,FALSE))</f>
        <v>0</v>
      </c>
      <c r="U69" s="10">
        <f>IF(ISERROR(HLOOKUP(CFs!$A69,Input!$C$141:$L$142,2,FALSE)),0,HLOOKUP(CFs!$A69,Input!$C$141:$L$142,2,FALSE))</f>
        <v>0</v>
      </c>
      <c r="V69" s="10">
        <f>IF(ISERROR(HLOOKUP(CFs!$A69,Input!$C$143:$L$144,2,FALSE)),0,HLOOKUP(CFs!$A69,Input!$C$143:$L$144,2,FALSE))</f>
        <v>0</v>
      </c>
      <c r="W69" s="10">
        <f>IF(ISERROR(HLOOKUP(CFs!$A69,Input!$C$145:$L$146,2,FALSE)),0,HLOOKUP(CFs!$A69,Input!$C$145:$L$146,2,FALSE))</f>
        <v>0</v>
      </c>
      <c r="X69" s="10">
        <f>IF(ISERROR(HLOOKUP(CFs!$A69,Input!$C$147:$L$148,2,FALSE)),0,HLOOKUP(CFs!$A69,Input!$C$147:$L$148,2,FALSE))</f>
        <v>0</v>
      </c>
      <c r="Y69" s="13">
        <f t="shared" si="6"/>
        <v>0</v>
      </c>
      <c r="Z69" s="10">
        <f>IF(ISERROR(HLOOKUP(CFs!$A69,Input!$C$152:$L$153,2,FALSE)),0,HLOOKUP(CFs!$A69,Input!$C$152:$L$153,2,FALSE))</f>
        <v>0</v>
      </c>
      <c r="AA69" s="10">
        <f>IF(ISERROR(HLOOKUP(CFs!$A69,Input!$C$149:$L$150,2,FALSE)),0,HLOOKUP(CFs!$A69,Input!$C$149:$L$150,2,FALSE))</f>
        <v>0</v>
      </c>
      <c r="AB69" s="10">
        <f>IF(ISERROR(HLOOKUP(CFs!$A69,Input!$C$151:$L$154,2,FALSE)),0,HLOOKUP(CFs!$A69,Input!$C$151:$L$154,2,FALSE))</f>
        <v>0</v>
      </c>
      <c r="AC69">
        <f t="shared" si="5"/>
        <v>0</v>
      </c>
      <c r="AD69" s="1" cm="1">
        <f t="array" ref="AD69">FirmaCashflow(Input!$C$165,Input!$C$166,Input!$C$163,Input!$D$163,CFs!A69)</f>
        <v>0</v>
      </c>
      <c r="AE69" s="2">
        <f>D69+G69+J69+Y69+AC69+AD69</f>
        <v>11560516.944805505</v>
      </c>
      <c r="AF69" s="2">
        <f t="shared" ref="AF69:AF122" si="7">AF68+AE69</f>
        <v>297557702.27833283</v>
      </c>
    </row>
    <row r="70" spans="1:32" x14ac:dyDescent="0.25">
      <c r="A70">
        <v>68</v>
      </c>
      <c r="B70" s="1">
        <f>Input!$H$78/12</f>
        <v>23070201.542999994</v>
      </c>
      <c r="C70" s="1">
        <f>Input!$H$79/12</f>
        <v>557529.87062249985</v>
      </c>
      <c r="D70" s="2">
        <f>SUM(B70:C70)</f>
        <v>23627731.413622495</v>
      </c>
      <c r="E70" s="1">
        <f>Input!$H$82/12</f>
        <v>-11128343.760125589</v>
      </c>
      <c r="F70" s="1">
        <f>Input!$H$83/12</f>
        <v>-278764.93531124992</v>
      </c>
      <c r="G70" s="2">
        <f>SUM(E70:F70)</f>
        <v>-11407108.695436839</v>
      </c>
      <c r="H70" s="1">
        <f>Input!$H$110/12</f>
        <v>-453716.11296930234</v>
      </c>
      <c r="I70" s="1">
        <f>Input!$H$111/12</f>
        <v>-206389.66041084807</v>
      </c>
      <c r="J70" s="10">
        <f t="shared" si="4"/>
        <v>-660105.77338015044</v>
      </c>
      <c r="K70" s="10">
        <f>IF(ISERROR(HLOOKUP(CFs!A70,Input!$C$115:$L$117,2,FALSE)),0,HLOOKUP(CFs!A70,Input!$C$115:$L$117,2,FALSE))</f>
        <v>0</v>
      </c>
      <c r="L70" s="10">
        <f>IF(ISERROR(HLOOKUP(CFs!A70,Input!$C$115:$L$117,3,FALSE)),0,HLOOKUP(CFs!A70,Input!$C$115:$L$117,3,FALSE))</f>
        <v>0</v>
      </c>
      <c r="M70" s="10">
        <f>IF(ISERROR(HLOOKUP(CFs!$A70,Input!$C$119:$L$120,2,FALSE)),0,HLOOKUP(CFs!$A70,Input!$C$119:$L$120,2,FALSE))</f>
        <v>0</v>
      </c>
      <c r="N70" s="10">
        <f>IF(ISERROR(HLOOKUP(CFs!$A70,Input!$C$123:$L$124,2,FALSE)),0,HLOOKUP(CFs!$A70,Input!$C$123:$L$124,2,FALSE))</f>
        <v>0</v>
      </c>
      <c r="O70" s="10">
        <f>IF(ISERROR(HLOOKUP(CFs!$A70,Input!$C$125:$L$126,2,FALSE)),0,HLOOKUP(CFs!$A70,Input!$C$125:$L$126,2,FALSE))</f>
        <v>0</v>
      </c>
      <c r="P70" s="10">
        <f>IF(ISERROR(HLOOKUP(CFs!$A70,Input!$C$129:$L$130,2,FALSE)),0,HLOOKUP(CFs!$A70,Input!$C$129:$L$130,2,FALSE))</f>
        <v>0</v>
      </c>
      <c r="Q70" s="10">
        <f>IF(ISERROR(HLOOKUP(CFs!$A70,Input!$C$131:$L$132,2,FALSE)),0,HLOOKUP(CFs!$A70,Input!$C$131:$L$132,2,FALSE))</f>
        <v>0</v>
      </c>
      <c r="R70" s="10">
        <f>IF(ISERROR(HLOOKUP(CFs!$A70,Input!$C$135:$L$136,2,FALSE)),0,HLOOKUP(CFs!$A70,Input!$C$135:$L$136,2,FALSE))</f>
        <v>0</v>
      </c>
      <c r="S70" s="10">
        <f>IF(ISERROR(HLOOKUP(CFs!$A70,Input!$C$137:$L$138,2,FALSE)),0,HLOOKUP(CFs!$A70,Input!$C$137:$L$138,2,FALSE))</f>
        <v>0</v>
      </c>
      <c r="T70" s="10">
        <f>IF(ISERROR(HLOOKUP(CFs!$A70,Input!$C$139:$L$140,2,FALSE)),0,HLOOKUP(CFs!$A70,Input!$C$139:$L$140,2,FALSE))</f>
        <v>0</v>
      </c>
      <c r="U70" s="10">
        <f>IF(ISERROR(HLOOKUP(CFs!$A70,Input!$C$141:$L$142,2,FALSE)),0,HLOOKUP(CFs!$A70,Input!$C$141:$L$142,2,FALSE))</f>
        <v>0</v>
      </c>
      <c r="V70" s="10">
        <f>IF(ISERROR(HLOOKUP(CFs!$A70,Input!$C$143:$L$144,2,FALSE)),0,HLOOKUP(CFs!$A70,Input!$C$143:$L$144,2,FALSE))</f>
        <v>0</v>
      </c>
      <c r="W70" s="10">
        <f>IF(ISERROR(HLOOKUP(CFs!$A70,Input!$C$145:$L$146,2,FALSE)),0,HLOOKUP(CFs!$A70,Input!$C$145:$L$146,2,FALSE))</f>
        <v>0</v>
      </c>
      <c r="X70" s="10">
        <f>IF(ISERROR(HLOOKUP(CFs!$A70,Input!$C$147:$L$148,2,FALSE)),0,HLOOKUP(CFs!$A70,Input!$C$147:$L$148,2,FALSE))</f>
        <v>0</v>
      </c>
      <c r="Y70" s="13">
        <f t="shared" si="6"/>
        <v>0</v>
      </c>
      <c r="Z70" s="10">
        <f>IF(ISERROR(HLOOKUP(CFs!$A70,Input!$C$152:$L$153,2,FALSE)),0,HLOOKUP(CFs!$A70,Input!$C$152:$L$153,2,FALSE))</f>
        <v>0</v>
      </c>
      <c r="AA70" s="10">
        <f>IF(ISERROR(HLOOKUP(CFs!$A70,Input!$C$149:$L$150,2,FALSE)),0,HLOOKUP(CFs!$A70,Input!$C$149:$L$150,2,FALSE))</f>
        <v>0</v>
      </c>
      <c r="AB70" s="10">
        <f>IF(ISERROR(HLOOKUP(CFs!$A70,Input!$C$151:$L$154,2,FALSE)),0,HLOOKUP(CFs!$A70,Input!$C$151:$L$154,2,FALSE))</f>
        <v>0</v>
      </c>
      <c r="AC70">
        <f t="shared" si="5"/>
        <v>0</v>
      </c>
      <c r="AD70" s="1" cm="1">
        <f t="array" ref="AD70">FirmaCashflow(Input!$C$165,Input!$C$166,Input!$C$163,Input!$D$163,CFs!A70)</f>
        <v>0</v>
      </c>
      <c r="AE70" s="2">
        <f>D70+G70+J70+Y70+AC70+AD70</f>
        <v>11560516.944805505</v>
      </c>
      <c r="AF70" s="2">
        <f t="shared" si="7"/>
        <v>309118219.22313833</v>
      </c>
    </row>
    <row r="71" spans="1:32" x14ac:dyDescent="0.25">
      <c r="A71">
        <v>69</v>
      </c>
      <c r="B71" s="1">
        <f>Input!$H$78/12</f>
        <v>23070201.542999994</v>
      </c>
      <c r="C71" s="1">
        <f>Input!$H$79/12</f>
        <v>557529.87062249985</v>
      </c>
      <c r="D71" s="2">
        <f>SUM(B71:C71)</f>
        <v>23627731.413622495</v>
      </c>
      <c r="E71" s="1">
        <f>Input!$H$82/12</f>
        <v>-11128343.760125589</v>
      </c>
      <c r="F71" s="1">
        <f>Input!$H$83/12</f>
        <v>-278764.93531124992</v>
      </c>
      <c r="G71" s="2">
        <f>SUM(E71:F71)</f>
        <v>-11407108.695436839</v>
      </c>
      <c r="H71" s="1">
        <f>Input!$H$110/12</f>
        <v>-453716.11296930234</v>
      </c>
      <c r="I71" s="1">
        <f>Input!$H$111/12</f>
        <v>-206389.66041084807</v>
      </c>
      <c r="J71" s="10">
        <f t="shared" si="4"/>
        <v>-660105.77338015044</v>
      </c>
      <c r="K71" s="10">
        <f>IF(ISERROR(HLOOKUP(CFs!A71,Input!$C$115:$L$117,2,FALSE)),0,HLOOKUP(CFs!A71,Input!$C$115:$L$117,2,FALSE))</f>
        <v>0</v>
      </c>
      <c r="L71" s="10">
        <f>IF(ISERROR(HLOOKUP(CFs!A71,Input!$C$115:$L$117,3,FALSE)),0,HLOOKUP(CFs!A71,Input!$C$115:$L$117,3,FALSE))</f>
        <v>0</v>
      </c>
      <c r="M71" s="10">
        <f>IF(ISERROR(HLOOKUP(CFs!$A71,Input!$C$119:$L$120,2,FALSE)),0,HLOOKUP(CFs!$A71,Input!$C$119:$L$120,2,FALSE))</f>
        <v>0</v>
      </c>
      <c r="N71" s="10">
        <f>IF(ISERROR(HLOOKUP(CFs!$A71,Input!$C$123:$L$124,2,FALSE)),0,HLOOKUP(CFs!$A71,Input!$C$123:$L$124,2,FALSE))</f>
        <v>0</v>
      </c>
      <c r="O71" s="10">
        <f>IF(ISERROR(HLOOKUP(CFs!$A71,Input!$C$125:$L$126,2,FALSE)),0,HLOOKUP(CFs!$A71,Input!$C$125:$L$126,2,FALSE))</f>
        <v>0</v>
      </c>
      <c r="P71" s="10">
        <f>IF(ISERROR(HLOOKUP(CFs!$A71,Input!$C$129:$L$130,2,FALSE)),0,HLOOKUP(CFs!$A71,Input!$C$129:$L$130,2,FALSE))</f>
        <v>0</v>
      </c>
      <c r="Q71" s="10">
        <f>IF(ISERROR(HLOOKUP(CFs!$A71,Input!$C$131:$L$132,2,FALSE)),0,HLOOKUP(CFs!$A71,Input!$C$131:$L$132,2,FALSE))</f>
        <v>0</v>
      </c>
      <c r="R71" s="10">
        <f>IF(ISERROR(HLOOKUP(CFs!$A71,Input!$C$135:$L$136,2,FALSE)),0,HLOOKUP(CFs!$A71,Input!$C$135:$L$136,2,FALSE))</f>
        <v>0</v>
      </c>
      <c r="S71" s="10">
        <f>IF(ISERROR(HLOOKUP(CFs!$A71,Input!$C$137:$L$138,2,FALSE)),0,HLOOKUP(CFs!$A71,Input!$C$137:$L$138,2,FALSE))</f>
        <v>0</v>
      </c>
      <c r="T71" s="10">
        <f>IF(ISERROR(HLOOKUP(CFs!$A71,Input!$C$139:$L$140,2,FALSE)),0,HLOOKUP(CFs!$A71,Input!$C$139:$L$140,2,FALSE))</f>
        <v>0</v>
      </c>
      <c r="U71" s="10">
        <f>IF(ISERROR(HLOOKUP(CFs!$A71,Input!$C$141:$L$142,2,FALSE)),0,HLOOKUP(CFs!$A71,Input!$C$141:$L$142,2,FALSE))</f>
        <v>0</v>
      </c>
      <c r="V71" s="10">
        <f>IF(ISERROR(HLOOKUP(CFs!$A71,Input!$C$143:$L$144,2,FALSE)),0,HLOOKUP(CFs!$A71,Input!$C$143:$L$144,2,FALSE))</f>
        <v>0</v>
      </c>
      <c r="W71" s="10">
        <f>IF(ISERROR(HLOOKUP(CFs!$A71,Input!$C$145:$L$146,2,FALSE)),0,HLOOKUP(CFs!$A71,Input!$C$145:$L$146,2,FALSE))</f>
        <v>0</v>
      </c>
      <c r="X71" s="10">
        <f>IF(ISERROR(HLOOKUP(CFs!$A71,Input!$C$147:$L$148,2,FALSE)),0,HLOOKUP(CFs!$A71,Input!$C$147:$L$148,2,FALSE))</f>
        <v>0</v>
      </c>
      <c r="Y71" s="13">
        <f t="shared" si="6"/>
        <v>0</v>
      </c>
      <c r="Z71" s="10">
        <f>IF(ISERROR(HLOOKUP(CFs!$A71,Input!$C$152:$L$153,2,FALSE)),0,HLOOKUP(CFs!$A71,Input!$C$152:$L$153,2,FALSE))</f>
        <v>0</v>
      </c>
      <c r="AA71" s="10">
        <f>IF(ISERROR(HLOOKUP(CFs!$A71,Input!$C$149:$L$150,2,FALSE)),0,HLOOKUP(CFs!$A71,Input!$C$149:$L$150,2,FALSE))</f>
        <v>0</v>
      </c>
      <c r="AB71" s="10">
        <f>IF(ISERROR(HLOOKUP(CFs!$A71,Input!$C$151:$L$154,2,FALSE)),0,HLOOKUP(CFs!$A71,Input!$C$151:$L$154,2,FALSE))</f>
        <v>0</v>
      </c>
      <c r="AC71">
        <f t="shared" si="5"/>
        <v>0</v>
      </c>
      <c r="AD71" s="1" cm="1">
        <f t="array" ref="AD71">FirmaCashflow(Input!$C$165,Input!$C$166,Input!$C$163,Input!$D$163,CFs!A71)</f>
        <v>0</v>
      </c>
      <c r="AE71" s="2">
        <f>D71+G71+J71+Y71+AC71+AD71</f>
        <v>11560516.944805505</v>
      </c>
      <c r="AF71" s="2">
        <f t="shared" si="7"/>
        <v>320678736.16794384</v>
      </c>
    </row>
    <row r="72" spans="1:32" x14ac:dyDescent="0.25">
      <c r="A72">
        <v>70</v>
      </c>
      <c r="B72" s="1">
        <f>Input!$H$78/12</f>
        <v>23070201.542999994</v>
      </c>
      <c r="C72" s="1">
        <f>Input!$H$79/12</f>
        <v>557529.87062249985</v>
      </c>
      <c r="D72" s="2">
        <f>SUM(B72:C72)</f>
        <v>23627731.413622495</v>
      </c>
      <c r="E72" s="1">
        <f>Input!$H$82/12</f>
        <v>-11128343.760125589</v>
      </c>
      <c r="F72" s="1">
        <f>Input!$H$83/12</f>
        <v>-278764.93531124992</v>
      </c>
      <c r="G72" s="2">
        <f>SUM(E72:F72)</f>
        <v>-11407108.695436839</v>
      </c>
      <c r="H72" s="1">
        <f>Input!$H$110/12</f>
        <v>-453716.11296930234</v>
      </c>
      <c r="I72" s="1">
        <f>Input!$H$111/12</f>
        <v>-206389.66041084807</v>
      </c>
      <c r="J72" s="10">
        <f t="shared" si="4"/>
        <v>-660105.77338015044</v>
      </c>
      <c r="K72" s="10">
        <f>IF(ISERROR(HLOOKUP(CFs!A72,Input!$C$115:$L$117,2,FALSE)),0,HLOOKUP(CFs!A72,Input!$C$115:$L$117,2,FALSE))</f>
        <v>0</v>
      </c>
      <c r="L72" s="10">
        <f>IF(ISERROR(HLOOKUP(CFs!A72,Input!$C$115:$L$117,3,FALSE)),0,HLOOKUP(CFs!A72,Input!$C$115:$L$117,3,FALSE))</f>
        <v>0</v>
      </c>
      <c r="M72" s="10">
        <f>IF(ISERROR(HLOOKUP(CFs!$A72,Input!$C$119:$L$120,2,FALSE)),0,HLOOKUP(CFs!$A72,Input!$C$119:$L$120,2,FALSE))</f>
        <v>0</v>
      </c>
      <c r="N72" s="10">
        <f>IF(ISERROR(HLOOKUP(CFs!$A72,Input!$C$123:$L$124,2,FALSE)),0,HLOOKUP(CFs!$A72,Input!$C$123:$L$124,2,FALSE))</f>
        <v>0</v>
      </c>
      <c r="O72" s="10">
        <f>IF(ISERROR(HLOOKUP(CFs!$A72,Input!$C$125:$L$126,2,FALSE)),0,HLOOKUP(CFs!$A72,Input!$C$125:$L$126,2,FALSE))</f>
        <v>0</v>
      </c>
      <c r="P72" s="10">
        <f>IF(ISERROR(HLOOKUP(CFs!$A72,Input!$C$129:$L$130,2,FALSE)),0,HLOOKUP(CFs!$A72,Input!$C$129:$L$130,2,FALSE))</f>
        <v>0</v>
      </c>
      <c r="Q72" s="10">
        <f>IF(ISERROR(HLOOKUP(CFs!$A72,Input!$C$131:$L$132,2,FALSE)),0,HLOOKUP(CFs!$A72,Input!$C$131:$L$132,2,FALSE))</f>
        <v>0</v>
      </c>
      <c r="R72" s="10">
        <f>IF(ISERROR(HLOOKUP(CFs!$A72,Input!$C$135:$L$136,2,FALSE)),0,HLOOKUP(CFs!$A72,Input!$C$135:$L$136,2,FALSE))</f>
        <v>0</v>
      </c>
      <c r="S72" s="10">
        <f>IF(ISERROR(HLOOKUP(CFs!$A72,Input!$C$137:$L$138,2,FALSE)),0,HLOOKUP(CFs!$A72,Input!$C$137:$L$138,2,FALSE))</f>
        <v>0</v>
      </c>
      <c r="T72" s="10">
        <f>IF(ISERROR(HLOOKUP(CFs!$A72,Input!$C$139:$L$140,2,FALSE)),0,HLOOKUP(CFs!$A72,Input!$C$139:$L$140,2,FALSE))</f>
        <v>0</v>
      </c>
      <c r="U72" s="10">
        <f>IF(ISERROR(HLOOKUP(CFs!$A72,Input!$C$141:$L$142,2,FALSE)),0,HLOOKUP(CFs!$A72,Input!$C$141:$L$142,2,FALSE))</f>
        <v>0</v>
      </c>
      <c r="V72" s="10">
        <f>IF(ISERROR(HLOOKUP(CFs!$A72,Input!$C$143:$L$144,2,FALSE)),0,HLOOKUP(CFs!$A72,Input!$C$143:$L$144,2,FALSE))</f>
        <v>0</v>
      </c>
      <c r="W72" s="10">
        <f>IF(ISERROR(HLOOKUP(CFs!$A72,Input!$C$145:$L$146,2,FALSE)),0,HLOOKUP(CFs!$A72,Input!$C$145:$L$146,2,FALSE))</f>
        <v>0</v>
      </c>
      <c r="X72" s="10">
        <f>IF(ISERROR(HLOOKUP(CFs!$A72,Input!$C$147:$L$148,2,FALSE)),0,HLOOKUP(CFs!$A72,Input!$C$147:$L$148,2,FALSE))</f>
        <v>0</v>
      </c>
      <c r="Y72" s="13">
        <f t="shared" si="6"/>
        <v>0</v>
      </c>
      <c r="Z72" s="10">
        <f>IF(ISERROR(HLOOKUP(CFs!$A72,Input!$C$152:$L$153,2,FALSE)),0,HLOOKUP(CFs!$A72,Input!$C$152:$L$153,2,FALSE))</f>
        <v>0</v>
      </c>
      <c r="AA72" s="10">
        <f>IF(ISERROR(HLOOKUP(CFs!$A72,Input!$C$149:$L$150,2,FALSE)),0,HLOOKUP(CFs!$A72,Input!$C$149:$L$150,2,FALSE))</f>
        <v>0</v>
      </c>
      <c r="AB72" s="10">
        <f>IF(ISERROR(HLOOKUP(CFs!$A72,Input!$C$151:$L$154,2,FALSE)),0,HLOOKUP(CFs!$A72,Input!$C$151:$L$154,2,FALSE))</f>
        <v>0</v>
      </c>
      <c r="AC72">
        <f t="shared" si="5"/>
        <v>0</v>
      </c>
      <c r="AD72" s="1" cm="1">
        <f t="array" ref="AD72">FirmaCashflow(Input!$C$165,Input!$C$166,Input!$C$163,Input!$D$163,CFs!A72)</f>
        <v>0</v>
      </c>
      <c r="AE72" s="2">
        <f>D72+G72+J72+Y72+AC72+AD72</f>
        <v>11560516.944805505</v>
      </c>
      <c r="AF72" s="2">
        <f t="shared" si="7"/>
        <v>332239253.11274934</v>
      </c>
    </row>
    <row r="73" spans="1:32" x14ac:dyDescent="0.25">
      <c r="A73">
        <v>71</v>
      </c>
      <c r="B73" s="1">
        <f>Input!$H$78/12</f>
        <v>23070201.542999994</v>
      </c>
      <c r="C73" s="1">
        <f>Input!$H$79/12</f>
        <v>557529.87062249985</v>
      </c>
      <c r="D73" s="2">
        <f>SUM(B73:C73)</f>
        <v>23627731.413622495</v>
      </c>
      <c r="E73" s="1">
        <f>Input!$H$82/12</f>
        <v>-11128343.760125589</v>
      </c>
      <c r="F73" s="1">
        <f>Input!$H$83/12</f>
        <v>-278764.93531124992</v>
      </c>
      <c r="G73" s="2">
        <f>SUM(E73:F73)</f>
        <v>-11407108.695436839</v>
      </c>
      <c r="H73" s="1">
        <f>Input!$H$110/12</f>
        <v>-453716.11296930234</v>
      </c>
      <c r="I73" s="1">
        <f>Input!$H$111/12</f>
        <v>-206389.66041084807</v>
      </c>
      <c r="J73" s="10">
        <f t="shared" si="4"/>
        <v>-660105.77338015044</v>
      </c>
      <c r="K73" s="10">
        <f>IF(ISERROR(HLOOKUP(CFs!A73,Input!$C$115:$L$117,2,FALSE)),0,HLOOKUP(CFs!A73,Input!$C$115:$L$117,2,FALSE))</f>
        <v>0</v>
      </c>
      <c r="L73" s="10">
        <f>IF(ISERROR(HLOOKUP(CFs!A73,Input!$C$115:$L$117,3,FALSE)),0,HLOOKUP(CFs!A73,Input!$C$115:$L$117,3,FALSE))</f>
        <v>0</v>
      </c>
      <c r="M73" s="10">
        <f>IF(ISERROR(HLOOKUP(CFs!$A73,Input!$C$119:$L$120,2,FALSE)),0,HLOOKUP(CFs!$A73,Input!$C$119:$L$120,2,FALSE))</f>
        <v>0</v>
      </c>
      <c r="N73" s="10">
        <f>IF(ISERROR(HLOOKUP(CFs!$A73,Input!$C$123:$L$124,2,FALSE)),0,HLOOKUP(CFs!$A73,Input!$C$123:$L$124,2,FALSE))</f>
        <v>0</v>
      </c>
      <c r="O73" s="10">
        <f>IF(ISERROR(HLOOKUP(CFs!$A73,Input!$C$125:$L$126,2,FALSE)),0,HLOOKUP(CFs!$A73,Input!$C$125:$L$126,2,FALSE))</f>
        <v>0</v>
      </c>
      <c r="P73" s="10">
        <f>IF(ISERROR(HLOOKUP(CFs!$A73,Input!$C$129:$L$130,2,FALSE)),0,HLOOKUP(CFs!$A73,Input!$C$129:$L$130,2,FALSE))</f>
        <v>0</v>
      </c>
      <c r="Q73" s="10">
        <f>IF(ISERROR(HLOOKUP(CFs!$A73,Input!$C$131:$L$132,2,FALSE)),0,HLOOKUP(CFs!$A73,Input!$C$131:$L$132,2,FALSE))</f>
        <v>0</v>
      </c>
      <c r="R73" s="10">
        <f>IF(ISERROR(HLOOKUP(CFs!$A73,Input!$C$135:$L$136,2,FALSE)),0,HLOOKUP(CFs!$A73,Input!$C$135:$L$136,2,FALSE))</f>
        <v>0</v>
      </c>
      <c r="S73" s="10">
        <f>IF(ISERROR(HLOOKUP(CFs!$A73,Input!$C$137:$L$138,2,FALSE)),0,HLOOKUP(CFs!$A73,Input!$C$137:$L$138,2,FALSE))</f>
        <v>0</v>
      </c>
      <c r="T73" s="10">
        <f>IF(ISERROR(HLOOKUP(CFs!$A73,Input!$C$139:$L$140,2,FALSE)),0,HLOOKUP(CFs!$A73,Input!$C$139:$L$140,2,FALSE))</f>
        <v>0</v>
      </c>
      <c r="U73" s="10">
        <f>IF(ISERROR(HLOOKUP(CFs!$A73,Input!$C$141:$L$142,2,FALSE)),0,HLOOKUP(CFs!$A73,Input!$C$141:$L$142,2,FALSE))</f>
        <v>0</v>
      </c>
      <c r="V73" s="10">
        <f>IF(ISERROR(HLOOKUP(CFs!$A73,Input!$C$143:$L$144,2,FALSE)),0,HLOOKUP(CFs!$A73,Input!$C$143:$L$144,2,FALSE))</f>
        <v>0</v>
      </c>
      <c r="W73" s="10">
        <f>IF(ISERROR(HLOOKUP(CFs!$A73,Input!$C$145:$L$146,2,FALSE)),0,HLOOKUP(CFs!$A73,Input!$C$145:$L$146,2,FALSE))</f>
        <v>0</v>
      </c>
      <c r="X73" s="10">
        <f>IF(ISERROR(HLOOKUP(CFs!$A73,Input!$C$147:$L$148,2,FALSE)),0,HLOOKUP(CFs!$A73,Input!$C$147:$L$148,2,FALSE))</f>
        <v>0</v>
      </c>
      <c r="Y73" s="13">
        <f t="shared" si="6"/>
        <v>0</v>
      </c>
      <c r="Z73" s="10">
        <f>IF(ISERROR(HLOOKUP(CFs!$A73,Input!$C$152:$L$153,2,FALSE)),0,HLOOKUP(CFs!$A73,Input!$C$152:$L$153,2,FALSE))</f>
        <v>0</v>
      </c>
      <c r="AA73" s="10">
        <f>IF(ISERROR(HLOOKUP(CFs!$A73,Input!$C$149:$L$150,2,FALSE)),0,HLOOKUP(CFs!$A73,Input!$C$149:$L$150,2,FALSE))</f>
        <v>0</v>
      </c>
      <c r="AB73" s="10">
        <f>IF(ISERROR(HLOOKUP(CFs!$A73,Input!$C$151:$L$154,2,FALSE)),0,HLOOKUP(CFs!$A73,Input!$C$151:$L$154,2,FALSE))</f>
        <v>0</v>
      </c>
      <c r="AC73">
        <f t="shared" si="5"/>
        <v>0</v>
      </c>
      <c r="AD73" s="1" cm="1">
        <f t="array" ref="AD73">FirmaCashflow(Input!$C$165,Input!$C$166,Input!$C$163,Input!$D$163,CFs!A73)</f>
        <v>0</v>
      </c>
      <c r="AE73" s="2">
        <f>D73+G73+J73+Y73+AC73+AD73</f>
        <v>11560516.944805505</v>
      </c>
      <c r="AF73" s="2">
        <f t="shared" si="7"/>
        <v>343799770.05755484</v>
      </c>
    </row>
    <row r="74" spans="1:32" x14ac:dyDescent="0.25">
      <c r="A74">
        <v>72</v>
      </c>
      <c r="B74" s="1">
        <f>Input!$H$78/12</f>
        <v>23070201.542999994</v>
      </c>
      <c r="C74" s="1">
        <f>Input!$H$79/12</f>
        <v>557529.87062249985</v>
      </c>
      <c r="D74" s="2">
        <f>SUM(B74:C74)</f>
        <v>23627731.413622495</v>
      </c>
      <c r="E74" s="1">
        <f>Input!$H$82/12</f>
        <v>-11128343.760125589</v>
      </c>
      <c r="F74" s="1">
        <f>Input!$H$83/12</f>
        <v>-278764.93531124992</v>
      </c>
      <c r="G74" s="2">
        <f>SUM(E74:F74)</f>
        <v>-11407108.695436839</v>
      </c>
      <c r="H74" s="1">
        <f>Input!$H$110/12</f>
        <v>-453716.11296930234</v>
      </c>
      <c r="I74" s="1">
        <f>Input!$H$111/12</f>
        <v>-206389.66041084807</v>
      </c>
      <c r="J74" s="10">
        <f t="shared" si="4"/>
        <v>-660105.77338015044</v>
      </c>
      <c r="K74" s="10">
        <f>IF(ISERROR(HLOOKUP(CFs!A74,Input!$C$115:$L$117,2,FALSE)),0,HLOOKUP(CFs!A74,Input!$C$115:$L$117,2,FALSE))</f>
        <v>0</v>
      </c>
      <c r="L74" s="10">
        <f>IF(ISERROR(HLOOKUP(CFs!A74,Input!$C$115:$L$117,3,FALSE)),0,HLOOKUP(CFs!A74,Input!$C$115:$L$117,3,FALSE))</f>
        <v>0</v>
      </c>
      <c r="M74" s="10">
        <f>IF(ISERROR(HLOOKUP(CFs!$A74,Input!$C$119:$L$120,2,FALSE)),0,HLOOKUP(CFs!$A74,Input!$C$119:$L$120,2,FALSE))</f>
        <v>0</v>
      </c>
      <c r="N74" s="10">
        <f>IF(ISERROR(HLOOKUP(CFs!$A74,Input!$C$123:$L$124,2,FALSE)),0,HLOOKUP(CFs!$A74,Input!$C$123:$L$124,2,FALSE))</f>
        <v>0</v>
      </c>
      <c r="O74" s="10">
        <f>IF(ISERROR(HLOOKUP(CFs!$A74,Input!$C$125:$L$126,2,FALSE)),0,HLOOKUP(CFs!$A74,Input!$C$125:$L$126,2,FALSE))</f>
        <v>0</v>
      </c>
      <c r="P74" s="10">
        <f>IF(ISERROR(HLOOKUP(CFs!$A74,Input!$C$129:$L$130,2,FALSE)),0,HLOOKUP(CFs!$A74,Input!$C$129:$L$130,2,FALSE))</f>
        <v>0</v>
      </c>
      <c r="Q74" s="10">
        <f>IF(ISERROR(HLOOKUP(CFs!$A74,Input!$C$131:$L$132,2,FALSE)),0,HLOOKUP(CFs!$A74,Input!$C$131:$L$132,2,FALSE))</f>
        <v>0</v>
      </c>
      <c r="R74" s="10">
        <f>IF(ISERROR(HLOOKUP(CFs!$A74,Input!$C$135:$L$136,2,FALSE)),0,HLOOKUP(CFs!$A74,Input!$C$135:$L$136,2,FALSE))</f>
        <v>0</v>
      </c>
      <c r="S74" s="10">
        <f>IF(ISERROR(HLOOKUP(CFs!$A74,Input!$C$137:$L$138,2,FALSE)),0,HLOOKUP(CFs!$A74,Input!$C$137:$L$138,2,FALSE))</f>
        <v>0</v>
      </c>
      <c r="T74" s="10">
        <f>IF(ISERROR(HLOOKUP(CFs!$A74,Input!$C$139:$L$140,2,FALSE)),0,HLOOKUP(CFs!$A74,Input!$C$139:$L$140,2,FALSE))</f>
        <v>0</v>
      </c>
      <c r="U74" s="10">
        <f>IF(ISERROR(HLOOKUP(CFs!$A74,Input!$C$141:$L$142,2,FALSE)),0,HLOOKUP(CFs!$A74,Input!$C$141:$L$142,2,FALSE))</f>
        <v>0</v>
      </c>
      <c r="V74" s="10">
        <f>IF(ISERROR(HLOOKUP(CFs!$A74,Input!$C$143:$L$144,2,FALSE)),0,HLOOKUP(CFs!$A74,Input!$C$143:$L$144,2,FALSE))</f>
        <v>0</v>
      </c>
      <c r="W74" s="10">
        <f>IF(ISERROR(HLOOKUP(CFs!$A74,Input!$C$145:$L$146,2,FALSE)),0,HLOOKUP(CFs!$A74,Input!$C$145:$L$146,2,FALSE))</f>
        <v>0</v>
      </c>
      <c r="X74" s="10">
        <f>IF(ISERROR(HLOOKUP(CFs!$A74,Input!$C$147:$L$148,2,FALSE)),0,HLOOKUP(CFs!$A74,Input!$C$147:$L$148,2,FALSE))</f>
        <v>0</v>
      </c>
      <c r="Y74" s="13">
        <f t="shared" si="6"/>
        <v>0</v>
      </c>
      <c r="Z74" s="10">
        <f>IF(ISERROR(HLOOKUP(CFs!$A74,Input!$C$152:$L$153,2,FALSE)),0,HLOOKUP(CFs!$A74,Input!$C$152:$L$153,2,FALSE))</f>
        <v>0</v>
      </c>
      <c r="AA74" s="10">
        <f>IF(ISERROR(HLOOKUP(CFs!$A74,Input!$C$149:$L$150,2,FALSE)),0,HLOOKUP(CFs!$A74,Input!$C$149:$L$150,2,FALSE))</f>
        <v>0</v>
      </c>
      <c r="AB74" s="10">
        <f>IF(ISERROR(HLOOKUP(CFs!$A74,Input!$C$151:$L$154,2,FALSE)),0,HLOOKUP(CFs!$A74,Input!$C$151:$L$154,2,FALSE))</f>
        <v>0</v>
      </c>
      <c r="AC74">
        <f t="shared" si="5"/>
        <v>0</v>
      </c>
      <c r="AD74" s="1" cm="1">
        <f t="array" ref="AD74">FirmaCashflow(Input!$C$165,Input!$C$166,Input!$C$163,Input!$D$163,CFs!A74)</f>
        <v>0</v>
      </c>
      <c r="AE74" s="2">
        <f>D74+G74+J74+Y74+AC74+AD74</f>
        <v>11560516.944805505</v>
      </c>
      <c r="AF74" s="2">
        <f t="shared" si="7"/>
        <v>355360287.00236034</v>
      </c>
    </row>
    <row r="75" spans="1:32" x14ac:dyDescent="0.25">
      <c r="A75">
        <v>73</v>
      </c>
      <c r="B75" s="1">
        <f>Input!$I$78/12</f>
        <v>23531605.573859993</v>
      </c>
      <c r="C75" s="1">
        <f>Input!$I$79/12</f>
        <v>284340.23401747498</v>
      </c>
      <c r="D75" s="2">
        <f>SUM(B75:C75)</f>
        <v>23815945.80787747</v>
      </c>
      <c r="E75" s="1">
        <f>Input!$I$82/12</f>
        <v>-11295268.916527472</v>
      </c>
      <c r="F75" s="1">
        <f>Input!$I$83/12</f>
        <v>-142170.11700873749</v>
      </c>
      <c r="G75" s="2">
        <f>SUM(E75:F75)</f>
        <v>-11437439.033536211</v>
      </c>
      <c r="H75" s="1">
        <f>Input!$I$110/12</f>
        <v>-460521.85466384172</v>
      </c>
      <c r="I75" s="1">
        <f>Input!$I$111/12</f>
        <v>-209485.50531701071</v>
      </c>
      <c r="J75" s="10">
        <f t="shared" si="4"/>
        <v>-670007.35998085246</v>
      </c>
      <c r="K75" s="10">
        <f>IF(ISERROR(HLOOKUP(CFs!A75,Input!$C$115:$L$117,2,FALSE)),0,HLOOKUP(CFs!A75,Input!$C$115:$L$117,2,FALSE))</f>
        <v>-252585.39397074978</v>
      </c>
      <c r="L75" s="10">
        <f>IF(ISERROR(HLOOKUP(CFs!A75,Input!$C$115:$L$117,3,FALSE)),0,HLOOKUP(CFs!A75,Input!$C$115:$L$117,3,FALSE))</f>
        <v>-144881.23247239974</v>
      </c>
      <c r="M75" s="10">
        <f>IF(ISERROR(HLOOKUP(CFs!$A75,Input!$C$119:$L$120,2,FALSE)),0,HLOOKUP(CFs!$A75,Input!$C$119:$L$120,2,FALSE))</f>
        <v>0</v>
      </c>
      <c r="N75" s="10">
        <f>IF(ISERROR(HLOOKUP(CFs!$A75,Input!$C$123:$L$124,2,FALSE)),0,HLOOKUP(CFs!$A75,Input!$C$123:$L$124,2,FALSE))</f>
        <v>0</v>
      </c>
      <c r="O75" s="10">
        <f>IF(ISERROR(HLOOKUP(CFs!$A75,Input!$C$125:$L$126,2,FALSE)),0,HLOOKUP(CFs!$A75,Input!$C$125:$L$126,2,FALSE))</f>
        <v>-530681.77531249973</v>
      </c>
      <c r="P75" s="10">
        <f>IF(ISERROR(HLOOKUP(CFs!$A75,Input!$C$129:$L$130,2,FALSE)),0,HLOOKUP(CFs!$A75,Input!$C$129:$L$130,2,FALSE))</f>
        <v>0</v>
      </c>
      <c r="Q75" s="10">
        <f>IF(ISERROR(HLOOKUP(CFs!$A75,Input!$C$131:$L$132,2,FALSE)),0,HLOOKUP(CFs!$A75,Input!$C$131:$L$132,2,FALSE))</f>
        <v>0</v>
      </c>
      <c r="R75" s="10">
        <f>IF(ISERROR(HLOOKUP(CFs!$A75,Input!$C$135:$L$136,2,FALSE)),0,HLOOKUP(CFs!$A75,Input!$C$135:$L$136,2,FALSE))</f>
        <v>0</v>
      </c>
      <c r="S75" s="10">
        <f>IF(ISERROR(HLOOKUP(CFs!$A75,Input!$C$137:$L$138,2,FALSE)),0,HLOOKUP(CFs!$A75,Input!$C$137:$L$138,2,FALSE))</f>
        <v>0</v>
      </c>
      <c r="T75" s="10">
        <f>IF(ISERROR(HLOOKUP(CFs!$A75,Input!$C$139:$L$140,2,FALSE)),0,HLOOKUP(CFs!$A75,Input!$C$139:$L$140,2,FALSE))</f>
        <v>0</v>
      </c>
      <c r="U75" s="10">
        <f>IF(ISERROR(HLOOKUP(CFs!$A75,Input!$C$141:$L$142,2,FALSE)),0,HLOOKUP(CFs!$A75,Input!$C$141:$L$142,2,FALSE))</f>
        <v>0</v>
      </c>
      <c r="V75" s="10">
        <f>IF(ISERROR(HLOOKUP(CFs!$A75,Input!$C$143:$L$144,2,FALSE)),0,HLOOKUP(CFs!$A75,Input!$C$143:$L$144,2,FALSE))</f>
        <v>0</v>
      </c>
      <c r="W75" s="10">
        <f>IF(ISERROR(HLOOKUP(CFs!$A75,Input!$C$145:$L$146,2,FALSE)),0,HLOOKUP(CFs!$A75,Input!$C$145:$L$146,2,FALSE))</f>
        <v>0</v>
      </c>
      <c r="X75" s="10">
        <f>IF(ISERROR(HLOOKUP(CFs!$A75,Input!$C$147:$L$148,2,FALSE)),0,HLOOKUP(CFs!$A75,Input!$C$147:$L$148,2,FALSE))</f>
        <v>0</v>
      </c>
      <c r="Y75" s="13">
        <f t="shared" si="6"/>
        <v>-928148.40175564925</v>
      </c>
      <c r="Z75" s="10">
        <f>IF(ISERROR(HLOOKUP(CFs!$A75,Input!$C$152:$L$153,2,FALSE)),0,HLOOKUP(CFs!$A75,Input!$C$152:$L$153,2,FALSE))</f>
        <v>0</v>
      </c>
      <c r="AA75" s="10">
        <f>IF(ISERROR(HLOOKUP(CFs!$A75,Input!$C$149:$L$150,2,FALSE)),0,HLOOKUP(CFs!$A75,Input!$C$149:$L$150,2,FALSE))</f>
        <v>0</v>
      </c>
      <c r="AB75" s="10">
        <f>IF(ISERROR(HLOOKUP(CFs!$A75,Input!$C$151:$L$154,2,FALSE)),0,HLOOKUP(CFs!$A75,Input!$C$151:$L$154,2,FALSE))</f>
        <v>0</v>
      </c>
      <c r="AC75">
        <f t="shared" si="5"/>
        <v>0</v>
      </c>
      <c r="AD75" s="1" cm="1">
        <f t="array" ref="AD75">FirmaCashflow(Input!$C$165,Input!$C$166,Input!$C$163,Input!$D$163,CFs!A75)</f>
        <v>0</v>
      </c>
      <c r="AE75" s="2">
        <f>D75+G75+J75+Y75+AC75+AD75</f>
        <v>10780351.012604756</v>
      </c>
      <c r="AF75" s="2">
        <f t="shared" si="7"/>
        <v>366140638.01496512</v>
      </c>
    </row>
    <row r="76" spans="1:32" x14ac:dyDescent="0.25">
      <c r="A76">
        <v>74</v>
      </c>
      <c r="B76" s="1">
        <f>Input!$I$78/12</f>
        <v>23531605.573859993</v>
      </c>
      <c r="C76" s="1">
        <f>Input!$I$79/12</f>
        <v>284340.23401747498</v>
      </c>
      <c r="D76" s="2">
        <f>SUM(B76:C76)</f>
        <v>23815945.80787747</v>
      </c>
      <c r="E76" s="1">
        <f>Input!$I$82/12</f>
        <v>-11295268.916527472</v>
      </c>
      <c r="F76" s="1">
        <f>Input!$I$83/12</f>
        <v>-142170.11700873749</v>
      </c>
      <c r="G76" s="2">
        <f>SUM(E76:F76)</f>
        <v>-11437439.033536211</v>
      </c>
      <c r="H76" s="1">
        <f>Input!$I$110/12</f>
        <v>-460521.85466384172</v>
      </c>
      <c r="I76" s="1">
        <f>Input!$I$111/12</f>
        <v>-209485.50531701071</v>
      </c>
      <c r="J76" s="10">
        <f t="shared" si="4"/>
        <v>-670007.35998085246</v>
      </c>
      <c r="K76" s="10">
        <f>IF(ISERROR(HLOOKUP(CFs!A76,Input!$C$115:$L$117,2,FALSE)),0,HLOOKUP(CFs!A76,Input!$C$115:$L$117,2,FALSE))</f>
        <v>0</v>
      </c>
      <c r="L76" s="10">
        <f>IF(ISERROR(HLOOKUP(CFs!A76,Input!$C$115:$L$117,3,FALSE)),0,HLOOKUP(CFs!A76,Input!$C$115:$L$117,3,FALSE))</f>
        <v>0</v>
      </c>
      <c r="M76" s="10">
        <f>IF(ISERROR(HLOOKUP(CFs!$A76,Input!$C$119:$L$120,2,FALSE)),0,HLOOKUP(CFs!$A76,Input!$C$119:$L$120,2,FALSE))</f>
        <v>0</v>
      </c>
      <c r="N76" s="10">
        <f>IF(ISERROR(HLOOKUP(CFs!$A76,Input!$C$123:$L$124,2,FALSE)),0,HLOOKUP(CFs!$A76,Input!$C$123:$L$124,2,FALSE))</f>
        <v>0</v>
      </c>
      <c r="O76" s="10">
        <f>IF(ISERROR(HLOOKUP(CFs!$A76,Input!$C$125:$L$126,2,FALSE)),0,HLOOKUP(CFs!$A76,Input!$C$125:$L$126,2,FALSE))</f>
        <v>0</v>
      </c>
      <c r="P76" s="10">
        <f>IF(ISERROR(HLOOKUP(CFs!$A76,Input!$C$129:$L$130,2,FALSE)),0,HLOOKUP(CFs!$A76,Input!$C$129:$L$130,2,FALSE))</f>
        <v>0</v>
      </c>
      <c r="Q76" s="10">
        <f>IF(ISERROR(HLOOKUP(CFs!$A76,Input!$C$131:$L$132,2,FALSE)),0,HLOOKUP(CFs!$A76,Input!$C$131:$L$132,2,FALSE))</f>
        <v>0</v>
      </c>
      <c r="R76" s="10">
        <f>IF(ISERROR(HLOOKUP(CFs!$A76,Input!$C$135:$L$136,2,FALSE)),0,HLOOKUP(CFs!$A76,Input!$C$135:$L$136,2,FALSE))</f>
        <v>0</v>
      </c>
      <c r="S76" s="10">
        <f>IF(ISERROR(HLOOKUP(CFs!$A76,Input!$C$137:$L$138,2,FALSE)),0,HLOOKUP(CFs!$A76,Input!$C$137:$L$138,2,FALSE))</f>
        <v>0</v>
      </c>
      <c r="T76" s="10">
        <f>IF(ISERROR(HLOOKUP(CFs!$A76,Input!$C$139:$L$140,2,FALSE)),0,HLOOKUP(CFs!$A76,Input!$C$139:$L$140,2,FALSE))</f>
        <v>0</v>
      </c>
      <c r="U76" s="10">
        <f>IF(ISERROR(HLOOKUP(CFs!$A76,Input!$C$141:$L$142,2,FALSE)),0,HLOOKUP(CFs!$A76,Input!$C$141:$L$142,2,FALSE))</f>
        <v>0</v>
      </c>
      <c r="V76" s="10">
        <f>IF(ISERROR(HLOOKUP(CFs!$A76,Input!$C$143:$L$144,2,FALSE)),0,HLOOKUP(CFs!$A76,Input!$C$143:$L$144,2,FALSE))</f>
        <v>0</v>
      </c>
      <c r="W76" s="10">
        <f>IF(ISERROR(HLOOKUP(CFs!$A76,Input!$C$145:$L$146,2,FALSE)),0,HLOOKUP(CFs!$A76,Input!$C$145:$L$146,2,FALSE))</f>
        <v>0</v>
      </c>
      <c r="X76" s="10">
        <f>IF(ISERROR(HLOOKUP(CFs!$A76,Input!$C$147:$L$148,2,FALSE)),0,HLOOKUP(CFs!$A76,Input!$C$147:$L$148,2,FALSE))</f>
        <v>0</v>
      </c>
      <c r="Y76" s="13">
        <f t="shared" si="6"/>
        <v>0</v>
      </c>
      <c r="Z76" s="10">
        <f>IF(ISERROR(HLOOKUP(CFs!$A76,Input!$C$152:$L$153,2,FALSE)),0,HLOOKUP(CFs!$A76,Input!$C$152:$L$153,2,FALSE))</f>
        <v>0</v>
      </c>
      <c r="AA76" s="10">
        <f>IF(ISERROR(HLOOKUP(CFs!$A76,Input!$C$149:$L$150,2,FALSE)),0,HLOOKUP(CFs!$A76,Input!$C$149:$L$150,2,FALSE))</f>
        <v>0</v>
      </c>
      <c r="AB76" s="10">
        <f>IF(ISERROR(HLOOKUP(CFs!$A76,Input!$C$151:$L$154,2,FALSE)),0,HLOOKUP(CFs!$A76,Input!$C$151:$L$154,2,FALSE))</f>
        <v>0</v>
      </c>
      <c r="AC76">
        <f t="shared" si="5"/>
        <v>0</v>
      </c>
      <c r="AD76" s="1" cm="1">
        <f t="array" ref="AD76">FirmaCashflow(Input!$C$165,Input!$C$166,Input!$C$163,Input!$D$163,CFs!A76)</f>
        <v>0</v>
      </c>
      <c r="AE76" s="2">
        <f>D76+G76+J76+Y76+AC76+AD76</f>
        <v>11708499.414360406</v>
      </c>
      <c r="AF76" s="2">
        <f t="shared" si="7"/>
        <v>377849137.42932552</v>
      </c>
    </row>
    <row r="77" spans="1:32" x14ac:dyDescent="0.25">
      <c r="A77">
        <v>75</v>
      </c>
      <c r="B77" s="1">
        <f>Input!$I$78/12</f>
        <v>23531605.573859993</v>
      </c>
      <c r="C77" s="1">
        <f>Input!$I$79/12</f>
        <v>284340.23401747498</v>
      </c>
      <c r="D77" s="2">
        <f>SUM(B77:C77)</f>
        <v>23815945.80787747</v>
      </c>
      <c r="E77" s="1">
        <f>Input!$I$82/12</f>
        <v>-11295268.916527472</v>
      </c>
      <c r="F77" s="1">
        <f>Input!$I$83/12</f>
        <v>-142170.11700873749</v>
      </c>
      <c r="G77" s="2">
        <f>SUM(E77:F77)</f>
        <v>-11437439.033536211</v>
      </c>
      <c r="H77" s="1">
        <f>Input!$I$110/12</f>
        <v>-460521.85466384172</v>
      </c>
      <c r="I77" s="1">
        <f>Input!$I$111/12</f>
        <v>-209485.50531701071</v>
      </c>
      <c r="J77" s="10">
        <f t="shared" si="4"/>
        <v>-670007.35998085246</v>
      </c>
      <c r="K77" s="10">
        <f>IF(ISERROR(HLOOKUP(CFs!A77,Input!$C$115:$L$117,2,FALSE)),0,HLOOKUP(CFs!A77,Input!$C$115:$L$117,2,FALSE))</f>
        <v>0</v>
      </c>
      <c r="L77" s="10">
        <f>IF(ISERROR(HLOOKUP(CFs!A77,Input!$C$115:$L$117,3,FALSE)),0,HLOOKUP(CFs!A77,Input!$C$115:$L$117,3,FALSE))</f>
        <v>0</v>
      </c>
      <c r="M77" s="10">
        <f>IF(ISERROR(HLOOKUP(CFs!$A77,Input!$C$119:$L$120,2,FALSE)),0,HLOOKUP(CFs!$A77,Input!$C$119:$L$120,2,FALSE))</f>
        <v>0</v>
      </c>
      <c r="N77" s="10">
        <f>IF(ISERROR(HLOOKUP(CFs!$A77,Input!$C$123:$L$124,2,FALSE)),0,HLOOKUP(CFs!$A77,Input!$C$123:$L$124,2,FALSE))</f>
        <v>0</v>
      </c>
      <c r="O77" s="10">
        <f>IF(ISERROR(HLOOKUP(CFs!$A77,Input!$C$125:$L$126,2,FALSE)),0,HLOOKUP(CFs!$A77,Input!$C$125:$L$126,2,FALSE))</f>
        <v>0</v>
      </c>
      <c r="P77" s="10">
        <f>IF(ISERROR(HLOOKUP(CFs!$A77,Input!$C$129:$L$130,2,FALSE)),0,HLOOKUP(CFs!$A77,Input!$C$129:$L$130,2,FALSE))</f>
        <v>0</v>
      </c>
      <c r="Q77" s="10">
        <f>IF(ISERROR(HLOOKUP(CFs!$A77,Input!$C$131:$L$132,2,FALSE)),0,HLOOKUP(CFs!$A77,Input!$C$131:$L$132,2,FALSE))</f>
        <v>0</v>
      </c>
      <c r="R77" s="10">
        <f>IF(ISERROR(HLOOKUP(CFs!$A77,Input!$C$135:$L$136,2,FALSE)),0,HLOOKUP(CFs!$A77,Input!$C$135:$L$136,2,FALSE))</f>
        <v>0</v>
      </c>
      <c r="S77" s="10">
        <f>IF(ISERROR(HLOOKUP(CFs!$A77,Input!$C$137:$L$138,2,FALSE)),0,HLOOKUP(CFs!$A77,Input!$C$137:$L$138,2,FALSE))</f>
        <v>0</v>
      </c>
      <c r="T77" s="10">
        <f>IF(ISERROR(HLOOKUP(CFs!$A77,Input!$C$139:$L$140,2,FALSE)),0,HLOOKUP(CFs!$A77,Input!$C$139:$L$140,2,FALSE))</f>
        <v>0</v>
      </c>
      <c r="U77" s="10">
        <f>IF(ISERROR(HLOOKUP(CFs!$A77,Input!$C$141:$L$142,2,FALSE)),0,HLOOKUP(CFs!$A77,Input!$C$141:$L$142,2,FALSE))</f>
        <v>0</v>
      </c>
      <c r="V77" s="10">
        <f>IF(ISERROR(HLOOKUP(CFs!$A77,Input!$C$143:$L$144,2,FALSE)),0,HLOOKUP(CFs!$A77,Input!$C$143:$L$144,2,FALSE))</f>
        <v>0</v>
      </c>
      <c r="W77" s="10">
        <f>IF(ISERROR(HLOOKUP(CFs!$A77,Input!$C$145:$L$146,2,FALSE)),0,HLOOKUP(CFs!$A77,Input!$C$145:$L$146,2,FALSE))</f>
        <v>0</v>
      </c>
      <c r="X77" s="10">
        <f>IF(ISERROR(HLOOKUP(CFs!$A77,Input!$C$147:$L$148,2,FALSE)),0,HLOOKUP(CFs!$A77,Input!$C$147:$L$148,2,FALSE))</f>
        <v>0</v>
      </c>
      <c r="Y77" s="13">
        <f t="shared" si="6"/>
        <v>0</v>
      </c>
      <c r="Z77" s="10">
        <f>IF(ISERROR(HLOOKUP(CFs!$A77,Input!$C$152:$L$153,2,FALSE)),0,HLOOKUP(CFs!$A77,Input!$C$152:$L$153,2,FALSE))</f>
        <v>0</v>
      </c>
      <c r="AA77" s="10">
        <f>IF(ISERROR(HLOOKUP(CFs!$A77,Input!$C$149:$L$150,2,FALSE)),0,HLOOKUP(CFs!$A77,Input!$C$149:$L$150,2,FALSE))</f>
        <v>0</v>
      </c>
      <c r="AB77" s="10">
        <f>IF(ISERROR(HLOOKUP(CFs!$A77,Input!$C$151:$L$154,2,FALSE)),0,HLOOKUP(CFs!$A77,Input!$C$151:$L$154,2,FALSE))</f>
        <v>0</v>
      </c>
      <c r="AC77">
        <f t="shared" si="5"/>
        <v>0</v>
      </c>
      <c r="AD77" s="1" cm="1">
        <f t="array" ref="AD77">FirmaCashflow(Input!$C$165,Input!$C$166,Input!$C$163,Input!$D$163,CFs!A77)</f>
        <v>0</v>
      </c>
      <c r="AE77" s="2">
        <f>D77+G77+J77+Y77+AC77+AD77</f>
        <v>11708499.414360406</v>
      </c>
      <c r="AF77" s="2">
        <f t="shared" si="7"/>
        <v>389557636.84368593</v>
      </c>
    </row>
    <row r="78" spans="1:32" x14ac:dyDescent="0.25">
      <c r="A78">
        <v>76</v>
      </c>
      <c r="B78" s="1">
        <f>Input!$I$78/12</f>
        <v>23531605.573859993</v>
      </c>
      <c r="C78" s="1">
        <f>Input!$I$79/12</f>
        <v>284340.23401747498</v>
      </c>
      <c r="D78" s="2">
        <f>SUM(B78:C78)</f>
        <v>23815945.80787747</v>
      </c>
      <c r="E78" s="1">
        <f>Input!$I$82/12</f>
        <v>-11295268.916527472</v>
      </c>
      <c r="F78" s="1">
        <f>Input!$I$83/12</f>
        <v>-142170.11700873749</v>
      </c>
      <c r="G78" s="2">
        <f>SUM(E78:F78)</f>
        <v>-11437439.033536211</v>
      </c>
      <c r="H78" s="1">
        <f>Input!$I$110/12</f>
        <v>-460521.85466384172</v>
      </c>
      <c r="I78" s="1">
        <f>Input!$I$111/12</f>
        <v>-209485.50531701071</v>
      </c>
      <c r="J78" s="10">
        <f t="shared" si="4"/>
        <v>-670007.35998085246</v>
      </c>
      <c r="K78" s="10">
        <f>IF(ISERROR(HLOOKUP(CFs!A78,Input!$C$115:$L$117,2,FALSE)),0,HLOOKUP(CFs!A78,Input!$C$115:$L$117,2,FALSE))</f>
        <v>0</v>
      </c>
      <c r="L78" s="10">
        <f>IF(ISERROR(HLOOKUP(CFs!A78,Input!$C$115:$L$117,3,FALSE)),0,HLOOKUP(CFs!A78,Input!$C$115:$L$117,3,FALSE))</f>
        <v>0</v>
      </c>
      <c r="M78" s="10">
        <f>IF(ISERROR(HLOOKUP(CFs!$A78,Input!$C$119:$L$120,2,FALSE)),0,HLOOKUP(CFs!$A78,Input!$C$119:$L$120,2,FALSE))</f>
        <v>0</v>
      </c>
      <c r="N78" s="10">
        <f>IF(ISERROR(HLOOKUP(CFs!$A78,Input!$C$123:$L$124,2,FALSE)),0,HLOOKUP(CFs!$A78,Input!$C$123:$L$124,2,FALSE))</f>
        <v>0</v>
      </c>
      <c r="O78" s="10">
        <f>IF(ISERROR(HLOOKUP(CFs!$A78,Input!$C$125:$L$126,2,FALSE)),0,HLOOKUP(CFs!$A78,Input!$C$125:$L$126,2,FALSE))</f>
        <v>0</v>
      </c>
      <c r="P78" s="10">
        <f>IF(ISERROR(HLOOKUP(CFs!$A78,Input!$C$129:$L$130,2,FALSE)),0,HLOOKUP(CFs!$A78,Input!$C$129:$L$130,2,FALSE))</f>
        <v>0</v>
      </c>
      <c r="Q78" s="10">
        <f>IF(ISERROR(HLOOKUP(CFs!$A78,Input!$C$131:$L$132,2,FALSE)),0,HLOOKUP(CFs!$A78,Input!$C$131:$L$132,2,FALSE))</f>
        <v>0</v>
      </c>
      <c r="R78" s="10">
        <f>IF(ISERROR(HLOOKUP(CFs!$A78,Input!$C$135:$L$136,2,FALSE)),0,HLOOKUP(CFs!$A78,Input!$C$135:$L$136,2,FALSE))</f>
        <v>0</v>
      </c>
      <c r="S78" s="10">
        <f>IF(ISERROR(HLOOKUP(CFs!$A78,Input!$C$137:$L$138,2,FALSE)),0,HLOOKUP(CFs!$A78,Input!$C$137:$L$138,2,FALSE))</f>
        <v>0</v>
      </c>
      <c r="T78" s="10">
        <f>IF(ISERROR(HLOOKUP(CFs!$A78,Input!$C$139:$L$140,2,FALSE)),0,HLOOKUP(CFs!$A78,Input!$C$139:$L$140,2,FALSE))</f>
        <v>0</v>
      </c>
      <c r="U78" s="10">
        <f>IF(ISERROR(HLOOKUP(CFs!$A78,Input!$C$141:$L$142,2,FALSE)),0,HLOOKUP(CFs!$A78,Input!$C$141:$L$142,2,FALSE))</f>
        <v>0</v>
      </c>
      <c r="V78" s="10">
        <f>IF(ISERROR(HLOOKUP(CFs!$A78,Input!$C$143:$L$144,2,FALSE)),0,HLOOKUP(CFs!$A78,Input!$C$143:$L$144,2,FALSE))</f>
        <v>0</v>
      </c>
      <c r="W78" s="10">
        <f>IF(ISERROR(HLOOKUP(CFs!$A78,Input!$C$145:$L$146,2,FALSE)),0,HLOOKUP(CFs!$A78,Input!$C$145:$L$146,2,FALSE))</f>
        <v>0</v>
      </c>
      <c r="X78" s="10">
        <f>IF(ISERROR(HLOOKUP(CFs!$A78,Input!$C$147:$L$148,2,FALSE)),0,HLOOKUP(CFs!$A78,Input!$C$147:$L$148,2,FALSE))</f>
        <v>0</v>
      </c>
      <c r="Y78" s="13">
        <f t="shared" si="6"/>
        <v>0</v>
      </c>
      <c r="Z78" s="10">
        <f>IF(ISERROR(HLOOKUP(CFs!$A78,Input!$C$152:$L$153,2,FALSE)),0,HLOOKUP(CFs!$A78,Input!$C$152:$L$153,2,FALSE))</f>
        <v>0</v>
      </c>
      <c r="AA78" s="10">
        <f>IF(ISERROR(HLOOKUP(CFs!$A78,Input!$C$149:$L$150,2,FALSE)),0,HLOOKUP(CFs!$A78,Input!$C$149:$L$150,2,FALSE))</f>
        <v>0</v>
      </c>
      <c r="AB78" s="10">
        <f>IF(ISERROR(HLOOKUP(CFs!$A78,Input!$C$151:$L$154,2,FALSE)),0,HLOOKUP(CFs!$A78,Input!$C$151:$L$154,2,FALSE))</f>
        <v>0</v>
      </c>
      <c r="AC78">
        <f t="shared" si="5"/>
        <v>0</v>
      </c>
      <c r="AD78" s="1" cm="1">
        <f t="array" ref="AD78">FirmaCashflow(Input!$C$165,Input!$C$166,Input!$C$163,Input!$D$163,CFs!A78)</f>
        <v>0</v>
      </c>
      <c r="AE78" s="2">
        <f>D78+G78+J78+Y78+AC78+AD78</f>
        <v>11708499.414360406</v>
      </c>
      <c r="AF78" s="2">
        <f t="shared" si="7"/>
        <v>401266136.25804633</v>
      </c>
    </row>
    <row r="79" spans="1:32" x14ac:dyDescent="0.25">
      <c r="A79">
        <v>77</v>
      </c>
      <c r="B79" s="1">
        <f>Input!$I$78/12</f>
        <v>23531605.573859993</v>
      </c>
      <c r="C79" s="1">
        <f>Input!$I$79/12</f>
        <v>284340.23401747498</v>
      </c>
      <c r="D79" s="2">
        <f>SUM(B79:C79)</f>
        <v>23815945.80787747</v>
      </c>
      <c r="E79" s="1">
        <f>Input!$I$82/12</f>
        <v>-11295268.916527472</v>
      </c>
      <c r="F79" s="1">
        <f>Input!$I$83/12</f>
        <v>-142170.11700873749</v>
      </c>
      <c r="G79" s="2">
        <f>SUM(E79:F79)</f>
        <v>-11437439.033536211</v>
      </c>
      <c r="H79" s="1">
        <f>Input!$I$110/12</f>
        <v>-460521.85466384172</v>
      </c>
      <c r="I79" s="1">
        <f>Input!$I$111/12</f>
        <v>-209485.50531701071</v>
      </c>
      <c r="J79" s="10">
        <f t="shared" si="4"/>
        <v>-670007.35998085246</v>
      </c>
      <c r="K79" s="10">
        <f>IF(ISERROR(HLOOKUP(CFs!A79,Input!$C$115:$L$117,2,FALSE)),0,HLOOKUP(CFs!A79,Input!$C$115:$L$117,2,FALSE))</f>
        <v>0</v>
      </c>
      <c r="L79" s="10">
        <f>IF(ISERROR(HLOOKUP(CFs!A79,Input!$C$115:$L$117,3,FALSE)),0,HLOOKUP(CFs!A79,Input!$C$115:$L$117,3,FALSE))</f>
        <v>0</v>
      </c>
      <c r="M79" s="10">
        <f>IF(ISERROR(HLOOKUP(CFs!$A79,Input!$C$119:$L$120,2,FALSE)),0,HLOOKUP(CFs!$A79,Input!$C$119:$L$120,2,FALSE))</f>
        <v>0</v>
      </c>
      <c r="N79" s="10">
        <f>IF(ISERROR(HLOOKUP(CFs!$A79,Input!$C$123:$L$124,2,FALSE)),0,HLOOKUP(CFs!$A79,Input!$C$123:$L$124,2,FALSE))</f>
        <v>0</v>
      </c>
      <c r="O79" s="10">
        <f>IF(ISERROR(HLOOKUP(CFs!$A79,Input!$C$125:$L$126,2,FALSE)),0,HLOOKUP(CFs!$A79,Input!$C$125:$L$126,2,FALSE))</f>
        <v>0</v>
      </c>
      <c r="P79" s="10">
        <f>IF(ISERROR(HLOOKUP(CFs!$A79,Input!$C$129:$L$130,2,FALSE)),0,HLOOKUP(CFs!$A79,Input!$C$129:$L$130,2,FALSE))</f>
        <v>0</v>
      </c>
      <c r="Q79" s="10">
        <f>IF(ISERROR(HLOOKUP(CFs!$A79,Input!$C$131:$L$132,2,FALSE)),0,HLOOKUP(CFs!$A79,Input!$C$131:$L$132,2,FALSE))</f>
        <v>0</v>
      </c>
      <c r="R79" s="10">
        <f>IF(ISERROR(HLOOKUP(CFs!$A79,Input!$C$135:$L$136,2,FALSE)),0,HLOOKUP(CFs!$A79,Input!$C$135:$L$136,2,FALSE))</f>
        <v>0</v>
      </c>
      <c r="S79" s="10">
        <f>IF(ISERROR(HLOOKUP(CFs!$A79,Input!$C$137:$L$138,2,FALSE)),0,HLOOKUP(CFs!$A79,Input!$C$137:$L$138,2,FALSE))</f>
        <v>0</v>
      </c>
      <c r="T79" s="10">
        <f>IF(ISERROR(HLOOKUP(CFs!$A79,Input!$C$139:$L$140,2,FALSE)),0,HLOOKUP(CFs!$A79,Input!$C$139:$L$140,2,FALSE))</f>
        <v>0</v>
      </c>
      <c r="U79" s="10">
        <f>IF(ISERROR(HLOOKUP(CFs!$A79,Input!$C$141:$L$142,2,FALSE)),0,HLOOKUP(CFs!$A79,Input!$C$141:$L$142,2,FALSE))</f>
        <v>0</v>
      </c>
      <c r="V79" s="10">
        <f>IF(ISERROR(HLOOKUP(CFs!$A79,Input!$C$143:$L$144,2,FALSE)),0,HLOOKUP(CFs!$A79,Input!$C$143:$L$144,2,FALSE))</f>
        <v>0</v>
      </c>
      <c r="W79" s="10">
        <f>IF(ISERROR(HLOOKUP(CFs!$A79,Input!$C$145:$L$146,2,FALSE)),0,HLOOKUP(CFs!$A79,Input!$C$145:$L$146,2,FALSE))</f>
        <v>0</v>
      </c>
      <c r="X79" s="10">
        <f>IF(ISERROR(HLOOKUP(CFs!$A79,Input!$C$147:$L$148,2,FALSE)),0,HLOOKUP(CFs!$A79,Input!$C$147:$L$148,2,FALSE))</f>
        <v>0</v>
      </c>
      <c r="Y79" s="13">
        <f t="shared" si="6"/>
        <v>0</v>
      </c>
      <c r="Z79" s="10">
        <f>IF(ISERROR(HLOOKUP(CFs!$A79,Input!$C$152:$L$153,2,FALSE)),0,HLOOKUP(CFs!$A79,Input!$C$152:$L$153,2,FALSE))</f>
        <v>0</v>
      </c>
      <c r="AA79" s="10">
        <f>IF(ISERROR(HLOOKUP(CFs!$A79,Input!$C$149:$L$150,2,FALSE)),0,HLOOKUP(CFs!$A79,Input!$C$149:$L$150,2,FALSE))</f>
        <v>0</v>
      </c>
      <c r="AB79" s="10">
        <f>IF(ISERROR(HLOOKUP(CFs!$A79,Input!$C$151:$L$154,2,FALSE)),0,HLOOKUP(CFs!$A79,Input!$C$151:$L$154,2,FALSE))</f>
        <v>0</v>
      </c>
      <c r="AC79">
        <f t="shared" si="5"/>
        <v>0</v>
      </c>
      <c r="AD79" s="1" cm="1">
        <f t="array" ref="AD79">FirmaCashflow(Input!$C$165,Input!$C$166,Input!$C$163,Input!$D$163,CFs!A79)</f>
        <v>0</v>
      </c>
      <c r="AE79" s="2">
        <f>D79+G79+J79+Y79+AC79+AD79</f>
        <v>11708499.414360406</v>
      </c>
      <c r="AF79" s="2">
        <f t="shared" si="7"/>
        <v>412974635.67240673</v>
      </c>
    </row>
    <row r="80" spans="1:32" x14ac:dyDescent="0.25">
      <c r="A80">
        <v>78</v>
      </c>
      <c r="B80" s="1">
        <f>Input!$I$78/12</f>
        <v>23531605.573859993</v>
      </c>
      <c r="C80" s="1">
        <f>Input!$I$79/12</f>
        <v>284340.23401747498</v>
      </c>
      <c r="D80" s="2">
        <f>SUM(B80:C80)</f>
        <v>23815945.80787747</v>
      </c>
      <c r="E80" s="1">
        <f>Input!$I$82/12</f>
        <v>-11295268.916527472</v>
      </c>
      <c r="F80" s="1">
        <f>Input!$I$83/12</f>
        <v>-142170.11700873749</v>
      </c>
      <c r="G80" s="2">
        <f>SUM(E80:F80)</f>
        <v>-11437439.033536211</v>
      </c>
      <c r="H80" s="1">
        <f>Input!$I$110/12</f>
        <v>-460521.85466384172</v>
      </c>
      <c r="I80" s="1">
        <f>Input!$I$111/12</f>
        <v>-209485.50531701071</v>
      </c>
      <c r="J80" s="10">
        <f t="shared" si="4"/>
        <v>-670007.35998085246</v>
      </c>
      <c r="K80" s="10">
        <f>IF(ISERROR(HLOOKUP(CFs!A80,Input!$C$115:$L$117,2,FALSE)),0,HLOOKUP(CFs!A80,Input!$C$115:$L$117,2,FALSE))</f>
        <v>0</v>
      </c>
      <c r="L80" s="10">
        <f>IF(ISERROR(HLOOKUP(CFs!A80,Input!$C$115:$L$117,3,FALSE)),0,HLOOKUP(CFs!A80,Input!$C$115:$L$117,3,FALSE))</f>
        <v>0</v>
      </c>
      <c r="M80" s="10">
        <f>IF(ISERROR(HLOOKUP(CFs!$A80,Input!$C$119:$L$120,2,FALSE)),0,HLOOKUP(CFs!$A80,Input!$C$119:$L$120,2,FALSE))</f>
        <v>-636818.1303749996</v>
      </c>
      <c r="N80" s="10">
        <f>IF(ISERROR(HLOOKUP(CFs!$A80,Input!$C$123:$L$124,2,FALSE)),0,HLOOKUP(CFs!$A80,Input!$C$123:$L$124,2,FALSE))</f>
        <v>0</v>
      </c>
      <c r="O80" s="10">
        <f>IF(ISERROR(HLOOKUP(CFs!$A80,Input!$C$125:$L$126,2,FALSE)),0,HLOOKUP(CFs!$A80,Input!$C$125:$L$126,2,FALSE))</f>
        <v>0</v>
      </c>
      <c r="P80" s="10">
        <f>IF(ISERROR(HLOOKUP(CFs!$A80,Input!$C$129:$L$130,2,FALSE)),0,HLOOKUP(CFs!$A80,Input!$C$129:$L$130,2,FALSE))</f>
        <v>0</v>
      </c>
      <c r="Q80" s="10">
        <f>IF(ISERROR(HLOOKUP(CFs!$A80,Input!$C$131:$L$132,2,FALSE)),0,HLOOKUP(CFs!$A80,Input!$C$131:$L$132,2,FALSE))</f>
        <v>0</v>
      </c>
      <c r="R80" s="10">
        <f>IF(ISERROR(HLOOKUP(CFs!$A80,Input!$C$135:$L$136,2,FALSE)),0,HLOOKUP(CFs!$A80,Input!$C$135:$L$136,2,FALSE))</f>
        <v>0</v>
      </c>
      <c r="S80" s="10">
        <f>IF(ISERROR(HLOOKUP(CFs!$A80,Input!$C$137:$L$138,2,FALSE)),0,HLOOKUP(CFs!$A80,Input!$C$137:$L$138,2,FALSE))</f>
        <v>0</v>
      </c>
      <c r="T80" s="10">
        <f>IF(ISERROR(HLOOKUP(CFs!$A80,Input!$C$139:$L$140,2,FALSE)),0,HLOOKUP(CFs!$A80,Input!$C$139:$L$140,2,FALSE))</f>
        <v>0</v>
      </c>
      <c r="U80" s="10">
        <f>IF(ISERROR(HLOOKUP(CFs!$A80,Input!$C$141:$L$142,2,FALSE)),0,HLOOKUP(CFs!$A80,Input!$C$141:$L$142,2,FALSE))</f>
        <v>0</v>
      </c>
      <c r="V80" s="10">
        <f>IF(ISERROR(HLOOKUP(CFs!$A80,Input!$C$143:$L$144,2,FALSE)),0,HLOOKUP(CFs!$A80,Input!$C$143:$L$144,2,FALSE))</f>
        <v>0</v>
      </c>
      <c r="W80" s="10">
        <f>IF(ISERROR(HLOOKUP(CFs!$A80,Input!$C$145:$L$146,2,FALSE)),0,HLOOKUP(CFs!$A80,Input!$C$145:$L$146,2,FALSE))</f>
        <v>0</v>
      </c>
      <c r="X80" s="10">
        <f>IF(ISERROR(HLOOKUP(CFs!$A80,Input!$C$147:$L$148,2,FALSE)),0,HLOOKUP(CFs!$A80,Input!$C$147:$L$148,2,FALSE))</f>
        <v>0</v>
      </c>
      <c r="Y80" s="13">
        <f t="shared" si="6"/>
        <v>-636818.1303749996</v>
      </c>
      <c r="Z80" s="10">
        <f>IF(ISERROR(HLOOKUP(CFs!$A80,Input!$C$152:$L$153,2,FALSE)),0,HLOOKUP(CFs!$A80,Input!$C$152:$L$153,2,FALSE))</f>
        <v>0</v>
      </c>
      <c r="AA80" s="10">
        <f>IF(ISERROR(HLOOKUP(CFs!$A80,Input!$C$149:$L$150,2,FALSE)),0,HLOOKUP(CFs!$A80,Input!$C$149:$L$150,2,FALSE))</f>
        <v>0</v>
      </c>
      <c r="AB80" s="10">
        <f>IF(ISERROR(HLOOKUP(CFs!$A80,Input!$C$151:$L$154,2,FALSE)),0,HLOOKUP(CFs!$A80,Input!$C$151:$L$154,2,FALSE))</f>
        <v>0</v>
      </c>
      <c r="AC80">
        <f t="shared" si="5"/>
        <v>0</v>
      </c>
      <c r="AD80" s="1" cm="1">
        <f t="array" ref="AD80">FirmaCashflow(Input!$C$165,Input!$C$166,Input!$C$163,Input!$D$163,CFs!A80)</f>
        <v>0</v>
      </c>
      <c r="AE80" s="2">
        <f>D80+G80+J80+Y80+AC80+AD80</f>
        <v>11071681.283985406</v>
      </c>
      <c r="AF80" s="2">
        <f t="shared" si="7"/>
        <v>424046316.95639217</v>
      </c>
    </row>
    <row r="81" spans="1:32" x14ac:dyDescent="0.25">
      <c r="A81">
        <v>79</v>
      </c>
      <c r="B81" s="1">
        <f>Input!$I$78/12</f>
        <v>23531605.573859993</v>
      </c>
      <c r="C81" s="1">
        <f>Input!$I$79/12</f>
        <v>284340.23401747498</v>
      </c>
      <c r="D81" s="2">
        <f>SUM(B81:C81)</f>
        <v>23815945.80787747</v>
      </c>
      <c r="E81" s="1">
        <f>Input!$I$82/12</f>
        <v>-11295268.916527472</v>
      </c>
      <c r="F81" s="1">
        <f>Input!$I$83/12</f>
        <v>-142170.11700873749</v>
      </c>
      <c r="G81" s="2">
        <f>SUM(E81:F81)</f>
        <v>-11437439.033536211</v>
      </c>
      <c r="H81" s="1">
        <f>Input!$I$110/12</f>
        <v>-460521.85466384172</v>
      </c>
      <c r="I81" s="1">
        <f>Input!$I$111/12</f>
        <v>-209485.50531701071</v>
      </c>
      <c r="J81" s="10">
        <f t="shared" si="4"/>
        <v>-670007.35998085246</v>
      </c>
      <c r="K81" s="10">
        <f>IF(ISERROR(HLOOKUP(CFs!A81,Input!$C$115:$L$117,2,FALSE)),0,HLOOKUP(CFs!A81,Input!$C$115:$L$117,2,FALSE))</f>
        <v>0</v>
      </c>
      <c r="L81" s="10">
        <f>IF(ISERROR(HLOOKUP(CFs!A81,Input!$C$115:$L$117,3,FALSE)),0,HLOOKUP(CFs!A81,Input!$C$115:$L$117,3,FALSE))</f>
        <v>0</v>
      </c>
      <c r="M81" s="10">
        <f>IF(ISERROR(HLOOKUP(CFs!$A81,Input!$C$119:$L$120,2,FALSE)),0,HLOOKUP(CFs!$A81,Input!$C$119:$L$120,2,FALSE))</f>
        <v>0</v>
      </c>
      <c r="N81" s="10">
        <f>IF(ISERROR(HLOOKUP(CFs!$A81,Input!$C$123:$L$124,2,FALSE)),0,HLOOKUP(CFs!$A81,Input!$C$123:$L$124,2,FALSE))</f>
        <v>0</v>
      </c>
      <c r="O81" s="10">
        <f>IF(ISERROR(HLOOKUP(CFs!$A81,Input!$C$125:$L$126,2,FALSE)),0,HLOOKUP(CFs!$A81,Input!$C$125:$L$126,2,FALSE))</f>
        <v>0</v>
      </c>
      <c r="P81" s="10">
        <f>IF(ISERROR(HLOOKUP(CFs!$A81,Input!$C$129:$L$130,2,FALSE)),0,HLOOKUP(CFs!$A81,Input!$C$129:$L$130,2,FALSE))</f>
        <v>0</v>
      </c>
      <c r="Q81" s="10">
        <f>IF(ISERROR(HLOOKUP(CFs!$A81,Input!$C$131:$L$132,2,FALSE)),0,HLOOKUP(CFs!$A81,Input!$C$131:$L$132,2,FALSE))</f>
        <v>0</v>
      </c>
      <c r="R81" s="10">
        <f>IF(ISERROR(HLOOKUP(CFs!$A81,Input!$C$135:$L$136,2,FALSE)),0,HLOOKUP(CFs!$A81,Input!$C$135:$L$136,2,FALSE))</f>
        <v>0</v>
      </c>
      <c r="S81" s="10">
        <f>IF(ISERROR(HLOOKUP(CFs!$A81,Input!$C$137:$L$138,2,FALSE)),0,HLOOKUP(CFs!$A81,Input!$C$137:$L$138,2,FALSE))</f>
        <v>0</v>
      </c>
      <c r="T81" s="10">
        <f>IF(ISERROR(HLOOKUP(CFs!$A81,Input!$C$139:$L$140,2,FALSE)),0,HLOOKUP(CFs!$A81,Input!$C$139:$L$140,2,FALSE))</f>
        <v>0</v>
      </c>
      <c r="U81" s="10">
        <f>IF(ISERROR(HLOOKUP(CFs!$A81,Input!$C$141:$L$142,2,FALSE)),0,HLOOKUP(CFs!$A81,Input!$C$141:$L$142,2,FALSE))</f>
        <v>0</v>
      </c>
      <c r="V81" s="10">
        <f>IF(ISERROR(HLOOKUP(CFs!$A81,Input!$C$143:$L$144,2,FALSE)),0,HLOOKUP(CFs!$A81,Input!$C$143:$L$144,2,FALSE))</f>
        <v>0</v>
      </c>
      <c r="W81" s="10">
        <f>IF(ISERROR(HLOOKUP(CFs!$A81,Input!$C$145:$L$146,2,FALSE)),0,HLOOKUP(CFs!$A81,Input!$C$145:$L$146,2,FALSE))</f>
        <v>0</v>
      </c>
      <c r="X81" s="10">
        <f>IF(ISERROR(HLOOKUP(CFs!$A81,Input!$C$147:$L$148,2,FALSE)),0,HLOOKUP(CFs!$A81,Input!$C$147:$L$148,2,FALSE))</f>
        <v>0</v>
      </c>
      <c r="Y81" s="13">
        <f t="shared" si="6"/>
        <v>0</v>
      </c>
      <c r="Z81" s="10">
        <f>IF(ISERROR(HLOOKUP(CFs!$A81,Input!$C$152:$L$153,2,FALSE)),0,HLOOKUP(CFs!$A81,Input!$C$152:$L$153,2,FALSE))</f>
        <v>0</v>
      </c>
      <c r="AA81" s="10">
        <f>IF(ISERROR(HLOOKUP(CFs!$A81,Input!$C$149:$L$150,2,FALSE)),0,HLOOKUP(CFs!$A81,Input!$C$149:$L$150,2,FALSE))</f>
        <v>0</v>
      </c>
      <c r="AB81" s="10">
        <f>IF(ISERROR(HLOOKUP(CFs!$A81,Input!$C$151:$L$154,2,FALSE)),0,HLOOKUP(CFs!$A81,Input!$C$151:$L$154,2,FALSE))</f>
        <v>0</v>
      </c>
      <c r="AC81">
        <f t="shared" si="5"/>
        <v>0</v>
      </c>
      <c r="AD81" s="1" cm="1">
        <f t="array" ref="AD81">FirmaCashflow(Input!$C$165,Input!$C$166,Input!$C$163,Input!$D$163,CFs!A81)</f>
        <v>0</v>
      </c>
      <c r="AE81" s="2">
        <f>D81+G81+J81+Y81+AC81+AD81</f>
        <v>11708499.414360406</v>
      </c>
      <c r="AF81" s="2">
        <f t="shared" si="7"/>
        <v>435754816.37075257</v>
      </c>
    </row>
    <row r="82" spans="1:32" x14ac:dyDescent="0.25">
      <c r="A82">
        <v>80</v>
      </c>
      <c r="B82" s="1">
        <f>Input!$I$78/12</f>
        <v>23531605.573859993</v>
      </c>
      <c r="C82" s="1">
        <f>Input!$I$79/12</f>
        <v>284340.23401747498</v>
      </c>
      <c r="D82" s="2">
        <f>SUM(B82:C82)</f>
        <v>23815945.80787747</v>
      </c>
      <c r="E82" s="1">
        <f>Input!$I$82/12</f>
        <v>-11295268.916527472</v>
      </c>
      <c r="F82" s="1">
        <f>Input!$I$83/12</f>
        <v>-142170.11700873749</v>
      </c>
      <c r="G82" s="2">
        <f>SUM(E82:F82)</f>
        <v>-11437439.033536211</v>
      </c>
      <c r="H82" s="1">
        <f>Input!$I$110/12</f>
        <v>-460521.85466384172</v>
      </c>
      <c r="I82" s="1">
        <f>Input!$I$111/12</f>
        <v>-209485.50531701071</v>
      </c>
      <c r="J82" s="10">
        <f t="shared" si="4"/>
        <v>-670007.35998085246</v>
      </c>
      <c r="K82" s="10">
        <f>IF(ISERROR(HLOOKUP(CFs!A82,Input!$C$115:$L$117,2,FALSE)),0,HLOOKUP(CFs!A82,Input!$C$115:$L$117,2,FALSE))</f>
        <v>0</v>
      </c>
      <c r="L82" s="10">
        <f>IF(ISERROR(HLOOKUP(CFs!A82,Input!$C$115:$L$117,3,FALSE)),0,HLOOKUP(CFs!A82,Input!$C$115:$L$117,3,FALSE))</f>
        <v>0</v>
      </c>
      <c r="M82" s="10">
        <f>IF(ISERROR(HLOOKUP(CFs!$A82,Input!$C$119:$L$120,2,FALSE)),0,HLOOKUP(CFs!$A82,Input!$C$119:$L$120,2,FALSE))</f>
        <v>0</v>
      </c>
      <c r="N82" s="10">
        <f>IF(ISERROR(HLOOKUP(CFs!$A82,Input!$C$123:$L$124,2,FALSE)),0,HLOOKUP(CFs!$A82,Input!$C$123:$L$124,2,FALSE))</f>
        <v>0</v>
      </c>
      <c r="O82" s="10">
        <f>IF(ISERROR(HLOOKUP(CFs!$A82,Input!$C$125:$L$126,2,FALSE)),0,HLOOKUP(CFs!$A82,Input!$C$125:$L$126,2,FALSE))</f>
        <v>0</v>
      </c>
      <c r="P82" s="10">
        <f>IF(ISERROR(HLOOKUP(CFs!$A82,Input!$C$129:$L$130,2,FALSE)),0,HLOOKUP(CFs!$A82,Input!$C$129:$L$130,2,FALSE))</f>
        <v>0</v>
      </c>
      <c r="Q82" s="10">
        <f>IF(ISERROR(HLOOKUP(CFs!$A82,Input!$C$131:$L$132,2,FALSE)),0,HLOOKUP(CFs!$A82,Input!$C$131:$L$132,2,FALSE))</f>
        <v>0</v>
      </c>
      <c r="R82" s="10">
        <f>IF(ISERROR(HLOOKUP(CFs!$A82,Input!$C$135:$L$136,2,FALSE)),0,HLOOKUP(CFs!$A82,Input!$C$135:$L$136,2,FALSE))</f>
        <v>0</v>
      </c>
      <c r="S82" s="10">
        <f>IF(ISERROR(HLOOKUP(CFs!$A82,Input!$C$137:$L$138,2,FALSE)),0,HLOOKUP(CFs!$A82,Input!$C$137:$L$138,2,FALSE))</f>
        <v>0</v>
      </c>
      <c r="T82" s="10">
        <f>IF(ISERROR(HLOOKUP(CFs!$A82,Input!$C$139:$L$140,2,FALSE)),0,HLOOKUP(CFs!$A82,Input!$C$139:$L$140,2,FALSE))</f>
        <v>0</v>
      </c>
      <c r="U82" s="10">
        <f>IF(ISERROR(HLOOKUP(CFs!$A82,Input!$C$141:$L$142,2,FALSE)),0,HLOOKUP(CFs!$A82,Input!$C$141:$L$142,2,FALSE))</f>
        <v>0</v>
      </c>
      <c r="V82" s="10">
        <f>IF(ISERROR(HLOOKUP(CFs!$A82,Input!$C$143:$L$144,2,FALSE)),0,HLOOKUP(CFs!$A82,Input!$C$143:$L$144,2,FALSE))</f>
        <v>0</v>
      </c>
      <c r="W82" s="10">
        <f>IF(ISERROR(HLOOKUP(CFs!$A82,Input!$C$145:$L$146,2,FALSE)),0,HLOOKUP(CFs!$A82,Input!$C$145:$L$146,2,FALSE))</f>
        <v>0</v>
      </c>
      <c r="X82" s="10">
        <f>IF(ISERROR(HLOOKUP(CFs!$A82,Input!$C$147:$L$148,2,FALSE)),0,HLOOKUP(CFs!$A82,Input!$C$147:$L$148,2,FALSE))</f>
        <v>0</v>
      </c>
      <c r="Y82" s="13">
        <f t="shared" si="6"/>
        <v>0</v>
      </c>
      <c r="Z82" s="10">
        <f>IF(ISERROR(HLOOKUP(CFs!$A82,Input!$C$152:$L$153,2,FALSE)),0,HLOOKUP(CFs!$A82,Input!$C$152:$L$153,2,FALSE))</f>
        <v>0</v>
      </c>
      <c r="AA82" s="10">
        <f>IF(ISERROR(HLOOKUP(CFs!$A82,Input!$C$149:$L$150,2,FALSE)),0,HLOOKUP(CFs!$A82,Input!$C$149:$L$150,2,FALSE))</f>
        <v>0</v>
      </c>
      <c r="AB82" s="10">
        <f>IF(ISERROR(HLOOKUP(CFs!$A82,Input!$C$151:$L$154,2,FALSE)),0,HLOOKUP(CFs!$A82,Input!$C$151:$L$154,2,FALSE))</f>
        <v>0</v>
      </c>
      <c r="AC82">
        <f t="shared" si="5"/>
        <v>0</v>
      </c>
      <c r="AD82" s="1" cm="1">
        <f t="array" ref="AD82">FirmaCashflow(Input!$C$165,Input!$C$166,Input!$C$163,Input!$D$163,CFs!A82)</f>
        <v>0</v>
      </c>
      <c r="AE82" s="2">
        <f>D82+G82+J82+Y82+AC82+AD82</f>
        <v>11708499.414360406</v>
      </c>
      <c r="AF82" s="2">
        <f t="shared" si="7"/>
        <v>447463315.78511298</v>
      </c>
    </row>
    <row r="83" spans="1:32" x14ac:dyDescent="0.25">
      <c r="A83">
        <v>81</v>
      </c>
      <c r="B83" s="1">
        <f>Input!$I$78/12</f>
        <v>23531605.573859993</v>
      </c>
      <c r="C83" s="1">
        <f>Input!$I$79/12</f>
        <v>284340.23401747498</v>
      </c>
      <c r="D83" s="2">
        <f>SUM(B83:C83)</f>
        <v>23815945.80787747</v>
      </c>
      <c r="E83" s="1">
        <f>Input!$I$82/12</f>
        <v>-11295268.916527472</v>
      </c>
      <c r="F83" s="1">
        <f>Input!$I$83/12</f>
        <v>-142170.11700873749</v>
      </c>
      <c r="G83" s="2">
        <f>SUM(E83:F83)</f>
        <v>-11437439.033536211</v>
      </c>
      <c r="H83" s="1">
        <f>Input!$I$110/12</f>
        <v>-460521.85466384172</v>
      </c>
      <c r="I83" s="1">
        <f>Input!$I$111/12</f>
        <v>-209485.50531701071</v>
      </c>
      <c r="J83" s="10">
        <f t="shared" si="4"/>
        <v>-670007.35998085246</v>
      </c>
      <c r="K83" s="10">
        <f>IF(ISERROR(HLOOKUP(CFs!A83,Input!$C$115:$L$117,2,FALSE)),0,HLOOKUP(CFs!A83,Input!$C$115:$L$117,2,FALSE))</f>
        <v>0</v>
      </c>
      <c r="L83" s="10">
        <f>IF(ISERROR(HLOOKUP(CFs!A83,Input!$C$115:$L$117,3,FALSE)),0,HLOOKUP(CFs!A83,Input!$C$115:$L$117,3,FALSE))</f>
        <v>0</v>
      </c>
      <c r="M83" s="10">
        <f>IF(ISERROR(HLOOKUP(CFs!$A83,Input!$C$119:$L$120,2,FALSE)),0,HLOOKUP(CFs!$A83,Input!$C$119:$L$120,2,FALSE))</f>
        <v>0</v>
      </c>
      <c r="N83" s="10">
        <f>IF(ISERROR(HLOOKUP(CFs!$A83,Input!$C$123:$L$124,2,FALSE)),0,HLOOKUP(CFs!$A83,Input!$C$123:$L$124,2,FALSE))</f>
        <v>0</v>
      </c>
      <c r="O83" s="10">
        <f>IF(ISERROR(HLOOKUP(CFs!$A83,Input!$C$125:$L$126,2,FALSE)),0,HLOOKUP(CFs!$A83,Input!$C$125:$L$126,2,FALSE))</f>
        <v>0</v>
      </c>
      <c r="P83" s="10">
        <f>IF(ISERROR(HLOOKUP(CFs!$A83,Input!$C$129:$L$130,2,FALSE)),0,HLOOKUP(CFs!$A83,Input!$C$129:$L$130,2,FALSE))</f>
        <v>0</v>
      </c>
      <c r="Q83" s="10">
        <f>IF(ISERROR(HLOOKUP(CFs!$A83,Input!$C$131:$L$132,2,FALSE)),0,HLOOKUP(CFs!$A83,Input!$C$131:$L$132,2,FALSE))</f>
        <v>0</v>
      </c>
      <c r="R83" s="10">
        <f>IF(ISERROR(HLOOKUP(CFs!$A83,Input!$C$135:$L$136,2,FALSE)),0,HLOOKUP(CFs!$A83,Input!$C$135:$L$136,2,FALSE))</f>
        <v>0</v>
      </c>
      <c r="S83" s="10">
        <f>IF(ISERROR(HLOOKUP(CFs!$A83,Input!$C$137:$L$138,2,FALSE)),0,HLOOKUP(CFs!$A83,Input!$C$137:$L$138,2,FALSE))</f>
        <v>0</v>
      </c>
      <c r="T83" s="10">
        <f>IF(ISERROR(HLOOKUP(CFs!$A83,Input!$C$139:$L$140,2,FALSE)),0,HLOOKUP(CFs!$A83,Input!$C$139:$L$140,2,FALSE))</f>
        <v>0</v>
      </c>
      <c r="U83" s="10">
        <f>IF(ISERROR(HLOOKUP(CFs!$A83,Input!$C$141:$L$142,2,FALSE)),0,HLOOKUP(CFs!$A83,Input!$C$141:$L$142,2,FALSE))</f>
        <v>0</v>
      </c>
      <c r="V83" s="10">
        <f>IF(ISERROR(HLOOKUP(CFs!$A83,Input!$C$143:$L$144,2,FALSE)),0,HLOOKUP(CFs!$A83,Input!$C$143:$L$144,2,FALSE))</f>
        <v>0</v>
      </c>
      <c r="W83" s="10">
        <f>IF(ISERROR(HLOOKUP(CFs!$A83,Input!$C$145:$L$146,2,FALSE)),0,HLOOKUP(CFs!$A83,Input!$C$145:$L$146,2,FALSE))</f>
        <v>0</v>
      </c>
      <c r="X83" s="10">
        <f>IF(ISERROR(HLOOKUP(CFs!$A83,Input!$C$147:$L$148,2,FALSE)),0,HLOOKUP(CFs!$A83,Input!$C$147:$L$148,2,FALSE))</f>
        <v>0</v>
      </c>
      <c r="Y83" s="13">
        <f t="shared" si="6"/>
        <v>0</v>
      </c>
      <c r="Z83" s="10">
        <f>IF(ISERROR(HLOOKUP(CFs!$A83,Input!$C$152:$L$153,2,FALSE)),0,HLOOKUP(CFs!$A83,Input!$C$152:$L$153,2,FALSE))</f>
        <v>0</v>
      </c>
      <c r="AA83" s="10">
        <f>IF(ISERROR(HLOOKUP(CFs!$A83,Input!$C$149:$L$150,2,FALSE)),0,HLOOKUP(CFs!$A83,Input!$C$149:$L$150,2,FALSE))</f>
        <v>0</v>
      </c>
      <c r="AB83" s="10">
        <f>IF(ISERROR(HLOOKUP(CFs!$A83,Input!$C$151:$L$154,2,FALSE)),0,HLOOKUP(CFs!$A83,Input!$C$151:$L$154,2,FALSE))</f>
        <v>0</v>
      </c>
      <c r="AC83">
        <f t="shared" si="5"/>
        <v>0</v>
      </c>
      <c r="AD83" s="1" cm="1">
        <f t="array" ref="AD83">FirmaCashflow(Input!$C$165,Input!$C$166,Input!$C$163,Input!$D$163,CFs!A83)</f>
        <v>0</v>
      </c>
      <c r="AE83" s="2">
        <f>D83+G83+J83+Y83+AC83+AD83</f>
        <v>11708499.414360406</v>
      </c>
      <c r="AF83" s="2">
        <f t="shared" si="7"/>
        <v>459171815.19947338</v>
      </c>
    </row>
    <row r="84" spans="1:32" x14ac:dyDescent="0.25">
      <c r="A84">
        <v>82</v>
      </c>
      <c r="B84" s="1">
        <f>Input!$I$78/12</f>
        <v>23531605.573859993</v>
      </c>
      <c r="C84" s="1">
        <f>Input!$I$79/12</f>
        <v>284340.23401747498</v>
      </c>
      <c r="D84" s="2">
        <f>SUM(B84:C84)</f>
        <v>23815945.80787747</v>
      </c>
      <c r="E84" s="1">
        <f>Input!$I$82/12</f>
        <v>-11295268.916527472</v>
      </c>
      <c r="F84" s="1">
        <f>Input!$I$83/12</f>
        <v>-142170.11700873749</v>
      </c>
      <c r="G84" s="2">
        <f>SUM(E84:F84)</f>
        <v>-11437439.033536211</v>
      </c>
      <c r="H84" s="1">
        <f>Input!$I$110/12</f>
        <v>-460521.85466384172</v>
      </c>
      <c r="I84" s="1">
        <f>Input!$I$111/12</f>
        <v>-209485.50531701071</v>
      </c>
      <c r="J84" s="10">
        <f t="shared" si="4"/>
        <v>-670007.35998085246</v>
      </c>
      <c r="K84" s="10">
        <f>IF(ISERROR(HLOOKUP(CFs!A84,Input!$C$115:$L$117,2,FALSE)),0,HLOOKUP(CFs!A84,Input!$C$115:$L$117,2,FALSE))</f>
        <v>0</v>
      </c>
      <c r="L84" s="10">
        <f>IF(ISERROR(HLOOKUP(CFs!A84,Input!$C$115:$L$117,3,FALSE)),0,HLOOKUP(CFs!A84,Input!$C$115:$L$117,3,FALSE))</f>
        <v>0</v>
      </c>
      <c r="M84" s="10">
        <f>IF(ISERROR(HLOOKUP(CFs!$A84,Input!$C$119:$L$120,2,FALSE)),0,HLOOKUP(CFs!$A84,Input!$C$119:$L$120,2,FALSE))</f>
        <v>0</v>
      </c>
      <c r="N84" s="10">
        <f>IF(ISERROR(HLOOKUP(CFs!$A84,Input!$C$123:$L$124,2,FALSE)),0,HLOOKUP(CFs!$A84,Input!$C$123:$L$124,2,FALSE))</f>
        <v>0</v>
      </c>
      <c r="O84" s="10">
        <f>IF(ISERROR(HLOOKUP(CFs!$A84,Input!$C$125:$L$126,2,FALSE)),0,HLOOKUP(CFs!$A84,Input!$C$125:$L$126,2,FALSE))</f>
        <v>0</v>
      </c>
      <c r="P84" s="10">
        <f>IF(ISERROR(HLOOKUP(CFs!$A84,Input!$C$129:$L$130,2,FALSE)),0,HLOOKUP(CFs!$A84,Input!$C$129:$L$130,2,FALSE))</f>
        <v>0</v>
      </c>
      <c r="Q84" s="10">
        <f>IF(ISERROR(HLOOKUP(CFs!$A84,Input!$C$131:$L$132,2,FALSE)),0,HLOOKUP(CFs!$A84,Input!$C$131:$L$132,2,FALSE))</f>
        <v>0</v>
      </c>
      <c r="R84" s="10">
        <f>IF(ISERROR(HLOOKUP(CFs!$A84,Input!$C$135:$L$136,2,FALSE)),0,HLOOKUP(CFs!$A84,Input!$C$135:$L$136,2,FALSE))</f>
        <v>0</v>
      </c>
      <c r="S84" s="10">
        <f>IF(ISERROR(HLOOKUP(CFs!$A84,Input!$C$137:$L$138,2,FALSE)),0,HLOOKUP(CFs!$A84,Input!$C$137:$L$138,2,FALSE))</f>
        <v>0</v>
      </c>
      <c r="T84" s="10">
        <f>IF(ISERROR(HLOOKUP(CFs!$A84,Input!$C$139:$L$140,2,FALSE)),0,HLOOKUP(CFs!$A84,Input!$C$139:$L$140,2,FALSE))</f>
        <v>0</v>
      </c>
      <c r="U84" s="10">
        <f>IF(ISERROR(HLOOKUP(CFs!$A84,Input!$C$141:$L$142,2,FALSE)),0,HLOOKUP(CFs!$A84,Input!$C$141:$L$142,2,FALSE))</f>
        <v>0</v>
      </c>
      <c r="V84" s="10">
        <f>IF(ISERROR(HLOOKUP(CFs!$A84,Input!$C$143:$L$144,2,FALSE)),0,HLOOKUP(CFs!$A84,Input!$C$143:$L$144,2,FALSE))</f>
        <v>0</v>
      </c>
      <c r="W84" s="10">
        <f>IF(ISERROR(HLOOKUP(CFs!$A84,Input!$C$145:$L$146,2,FALSE)),0,HLOOKUP(CFs!$A84,Input!$C$145:$L$146,2,FALSE))</f>
        <v>0</v>
      </c>
      <c r="X84" s="10">
        <f>IF(ISERROR(HLOOKUP(CFs!$A84,Input!$C$147:$L$148,2,FALSE)),0,HLOOKUP(CFs!$A84,Input!$C$147:$L$148,2,FALSE))</f>
        <v>0</v>
      </c>
      <c r="Y84" s="13">
        <f t="shared" si="6"/>
        <v>0</v>
      </c>
      <c r="Z84" s="10">
        <f>IF(ISERROR(HLOOKUP(CFs!$A84,Input!$C$152:$L$153,2,FALSE)),0,HLOOKUP(CFs!$A84,Input!$C$152:$L$153,2,FALSE))</f>
        <v>0</v>
      </c>
      <c r="AA84" s="10">
        <f>IF(ISERROR(HLOOKUP(CFs!$A84,Input!$C$149:$L$150,2,FALSE)),0,HLOOKUP(CFs!$A84,Input!$C$149:$L$150,2,FALSE))</f>
        <v>0</v>
      </c>
      <c r="AB84" s="10">
        <f>IF(ISERROR(HLOOKUP(CFs!$A84,Input!$C$151:$L$154,2,FALSE)),0,HLOOKUP(CFs!$A84,Input!$C$151:$L$154,2,FALSE))</f>
        <v>0</v>
      </c>
      <c r="AC84">
        <f t="shared" si="5"/>
        <v>0</v>
      </c>
      <c r="AD84" s="1" cm="1">
        <f t="array" ref="AD84">FirmaCashflow(Input!$C$165,Input!$C$166,Input!$C$163,Input!$D$163,CFs!A84)</f>
        <v>0</v>
      </c>
      <c r="AE84" s="2">
        <f>D84+G84+J84+Y84+AC84+AD84</f>
        <v>11708499.414360406</v>
      </c>
      <c r="AF84" s="2">
        <f t="shared" si="7"/>
        <v>470880314.61383379</v>
      </c>
    </row>
    <row r="85" spans="1:32" x14ac:dyDescent="0.25">
      <c r="A85">
        <v>83</v>
      </c>
      <c r="B85" s="1">
        <f>Input!$I$78/12</f>
        <v>23531605.573859993</v>
      </c>
      <c r="C85" s="1">
        <f>Input!$I$79/12</f>
        <v>284340.23401747498</v>
      </c>
      <c r="D85" s="2">
        <f>SUM(B85:C85)</f>
        <v>23815945.80787747</v>
      </c>
      <c r="E85" s="1">
        <f>Input!$I$82/12</f>
        <v>-11295268.916527472</v>
      </c>
      <c r="F85" s="1">
        <f>Input!$I$83/12</f>
        <v>-142170.11700873749</v>
      </c>
      <c r="G85" s="2">
        <f>SUM(E85:F85)</f>
        <v>-11437439.033536211</v>
      </c>
      <c r="H85" s="1">
        <f>Input!$I$110/12</f>
        <v>-460521.85466384172</v>
      </c>
      <c r="I85" s="1">
        <f>Input!$I$111/12</f>
        <v>-209485.50531701071</v>
      </c>
      <c r="J85" s="10">
        <f t="shared" si="4"/>
        <v>-670007.35998085246</v>
      </c>
      <c r="K85" s="10">
        <f>IF(ISERROR(HLOOKUP(CFs!A85,Input!$C$115:$L$117,2,FALSE)),0,HLOOKUP(CFs!A85,Input!$C$115:$L$117,2,FALSE))</f>
        <v>0</v>
      </c>
      <c r="L85" s="10">
        <f>IF(ISERROR(HLOOKUP(CFs!A85,Input!$C$115:$L$117,3,FALSE)),0,HLOOKUP(CFs!A85,Input!$C$115:$L$117,3,FALSE))</f>
        <v>0</v>
      </c>
      <c r="M85" s="10">
        <f>IF(ISERROR(HLOOKUP(CFs!$A85,Input!$C$119:$L$120,2,FALSE)),0,HLOOKUP(CFs!$A85,Input!$C$119:$L$120,2,FALSE))</f>
        <v>0</v>
      </c>
      <c r="N85" s="10">
        <f>IF(ISERROR(HLOOKUP(CFs!$A85,Input!$C$123:$L$124,2,FALSE)),0,HLOOKUP(CFs!$A85,Input!$C$123:$L$124,2,FALSE))</f>
        <v>0</v>
      </c>
      <c r="O85" s="10">
        <f>IF(ISERROR(HLOOKUP(CFs!$A85,Input!$C$125:$L$126,2,FALSE)),0,HLOOKUP(CFs!$A85,Input!$C$125:$L$126,2,FALSE))</f>
        <v>0</v>
      </c>
      <c r="P85" s="10">
        <f>IF(ISERROR(HLOOKUP(CFs!$A85,Input!$C$129:$L$130,2,FALSE)),0,HLOOKUP(CFs!$A85,Input!$C$129:$L$130,2,FALSE))</f>
        <v>0</v>
      </c>
      <c r="Q85" s="10">
        <f>IF(ISERROR(HLOOKUP(CFs!$A85,Input!$C$131:$L$132,2,FALSE)),0,HLOOKUP(CFs!$A85,Input!$C$131:$L$132,2,FALSE))</f>
        <v>0</v>
      </c>
      <c r="R85" s="10">
        <f>IF(ISERROR(HLOOKUP(CFs!$A85,Input!$C$135:$L$136,2,FALSE)),0,HLOOKUP(CFs!$A85,Input!$C$135:$L$136,2,FALSE))</f>
        <v>0</v>
      </c>
      <c r="S85" s="10">
        <f>IF(ISERROR(HLOOKUP(CFs!$A85,Input!$C$137:$L$138,2,FALSE)),0,HLOOKUP(CFs!$A85,Input!$C$137:$L$138,2,FALSE))</f>
        <v>0</v>
      </c>
      <c r="T85" s="10">
        <f>IF(ISERROR(HLOOKUP(CFs!$A85,Input!$C$139:$L$140,2,FALSE)),0,HLOOKUP(CFs!$A85,Input!$C$139:$L$140,2,FALSE))</f>
        <v>0</v>
      </c>
      <c r="U85" s="10">
        <f>IF(ISERROR(HLOOKUP(CFs!$A85,Input!$C$141:$L$142,2,FALSE)),0,HLOOKUP(CFs!$A85,Input!$C$141:$L$142,2,FALSE))</f>
        <v>0</v>
      </c>
      <c r="V85" s="10">
        <f>IF(ISERROR(HLOOKUP(CFs!$A85,Input!$C$143:$L$144,2,FALSE)),0,HLOOKUP(CFs!$A85,Input!$C$143:$L$144,2,FALSE))</f>
        <v>0</v>
      </c>
      <c r="W85" s="10">
        <f>IF(ISERROR(HLOOKUP(CFs!$A85,Input!$C$145:$L$146,2,FALSE)),0,HLOOKUP(CFs!$A85,Input!$C$145:$L$146,2,FALSE))</f>
        <v>0</v>
      </c>
      <c r="X85" s="10">
        <f>IF(ISERROR(HLOOKUP(CFs!$A85,Input!$C$147:$L$148,2,FALSE)),0,HLOOKUP(CFs!$A85,Input!$C$147:$L$148,2,FALSE))</f>
        <v>0</v>
      </c>
      <c r="Y85" s="13">
        <f t="shared" si="6"/>
        <v>0</v>
      </c>
      <c r="Z85" s="10">
        <f>IF(ISERROR(HLOOKUP(CFs!$A85,Input!$C$152:$L$153,2,FALSE)),0,HLOOKUP(CFs!$A85,Input!$C$152:$L$153,2,FALSE))</f>
        <v>0</v>
      </c>
      <c r="AA85" s="10">
        <f>IF(ISERROR(HLOOKUP(CFs!$A85,Input!$C$149:$L$150,2,FALSE)),0,HLOOKUP(CFs!$A85,Input!$C$149:$L$150,2,FALSE))</f>
        <v>0</v>
      </c>
      <c r="AB85" s="10">
        <f>IF(ISERROR(HLOOKUP(CFs!$A85,Input!$C$151:$L$154,2,FALSE)),0,HLOOKUP(CFs!$A85,Input!$C$151:$L$154,2,FALSE))</f>
        <v>0</v>
      </c>
      <c r="AC85">
        <f t="shared" si="5"/>
        <v>0</v>
      </c>
      <c r="AD85" s="1" cm="1">
        <f t="array" ref="AD85">FirmaCashflow(Input!$C$165,Input!$C$166,Input!$C$163,Input!$D$163,CFs!A85)</f>
        <v>0</v>
      </c>
      <c r="AE85" s="2">
        <f>D85+G85+J85+Y85+AC85+AD85</f>
        <v>11708499.414360406</v>
      </c>
      <c r="AF85" s="2">
        <f t="shared" si="7"/>
        <v>482588814.02819419</v>
      </c>
    </row>
    <row r="86" spans="1:32" x14ac:dyDescent="0.25">
      <c r="A86">
        <v>84</v>
      </c>
      <c r="B86" s="1">
        <f>Input!$I$78/12</f>
        <v>23531605.573859993</v>
      </c>
      <c r="C86" s="1">
        <f>Input!$I$79/12</f>
        <v>284340.23401747498</v>
      </c>
      <c r="D86" s="2">
        <f>SUM(B86:C86)</f>
        <v>23815945.80787747</v>
      </c>
      <c r="E86" s="1">
        <f>Input!$I$82/12</f>
        <v>-11295268.916527472</v>
      </c>
      <c r="F86" s="1">
        <f>Input!$I$83/12</f>
        <v>-142170.11700873749</v>
      </c>
      <c r="G86" s="2">
        <f>SUM(E86:F86)</f>
        <v>-11437439.033536211</v>
      </c>
      <c r="H86" s="1">
        <f>Input!$I$110/12</f>
        <v>-460521.85466384172</v>
      </c>
      <c r="I86" s="1">
        <f>Input!$I$111/12</f>
        <v>-209485.50531701071</v>
      </c>
      <c r="J86" s="10">
        <f t="shared" si="4"/>
        <v>-670007.35998085246</v>
      </c>
      <c r="K86" s="10">
        <f>IF(ISERROR(HLOOKUP(CFs!A86,Input!$C$115:$L$117,2,FALSE)),0,HLOOKUP(CFs!A86,Input!$C$115:$L$117,2,FALSE))</f>
        <v>0</v>
      </c>
      <c r="L86" s="10">
        <f>IF(ISERROR(HLOOKUP(CFs!A86,Input!$C$115:$L$117,3,FALSE)),0,HLOOKUP(CFs!A86,Input!$C$115:$L$117,3,FALSE))</f>
        <v>0</v>
      </c>
      <c r="M86" s="10">
        <f>IF(ISERROR(HLOOKUP(CFs!$A86,Input!$C$119:$L$120,2,FALSE)),0,HLOOKUP(CFs!$A86,Input!$C$119:$L$120,2,FALSE))</f>
        <v>0</v>
      </c>
      <c r="N86" s="10">
        <f>IF(ISERROR(HLOOKUP(CFs!$A86,Input!$C$123:$L$124,2,FALSE)),0,HLOOKUP(CFs!$A86,Input!$C$123:$L$124,2,FALSE))</f>
        <v>0</v>
      </c>
      <c r="O86" s="10">
        <f>IF(ISERROR(HLOOKUP(CFs!$A86,Input!$C$125:$L$126,2,FALSE)),0,HLOOKUP(CFs!$A86,Input!$C$125:$L$126,2,FALSE))</f>
        <v>0</v>
      </c>
      <c r="P86" s="10">
        <f>IF(ISERROR(HLOOKUP(CFs!$A86,Input!$C$129:$L$130,2,FALSE)),0,HLOOKUP(CFs!$A86,Input!$C$129:$L$130,2,FALSE))</f>
        <v>0</v>
      </c>
      <c r="Q86" s="10">
        <f>IF(ISERROR(HLOOKUP(CFs!$A86,Input!$C$131:$L$132,2,FALSE)),0,HLOOKUP(CFs!$A86,Input!$C$131:$L$132,2,FALSE))</f>
        <v>0</v>
      </c>
      <c r="R86" s="10">
        <f>IF(ISERROR(HLOOKUP(CFs!$A86,Input!$C$135:$L$136,2,FALSE)),0,HLOOKUP(CFs!$A86,Input!$C$135:$L$136,2,FALSE))</f>
        <v>0</v>
      </c>
      <c r="S86" s="10">
        <f>IF(ISERROR(HLOOKUP(CFs!$A86,Input!$C$137:$L$138,2,FALSE)),0,HLOOKUP(CFs!$A86,Input!$C$137:$L$138,2,FALSE))</f>
        <v>0</v>
      </c>
      <c r="T86" s="10">
        <f>IF(ISERROR(HLOOKUP(CFs!$A86,Input!$C$139:$L$140,2,FALSE)),0,HLOOKUP(CFs!$A86,Input!$C$139:$L$140,2,FALSE))</f>
        <v>0</v>
      </c>
      <c r="U86" s="10">
        <f>IF(ISERROR(HLOOKUP(CFs!$A86,Input!$C$141:$L$142,2,FALSE)),0,HLOOKUP(CFs!$A86,Input!$C$141:$L$142,2,FALSE))</f>
        <v>0</v>
      </c>
      <c r="V86" s="10">
        <f>IF(ISERROR(HLOOKUP(CFs!$A86,Input!$C$143:$L$144,2,FALSE)),0,HLOOKUP(CFs!$A86,Input!$C$143:$L$144,2,FALSE))</f>
        <v>0</v>
      </c>
      <c r="W86" s="10">
        <f>IF(ISERROR(HLOOKUP(CFs!$A86,Input!$C$145:$L$146,2,FALSE)),0,HLOOKUP(CFs!$A86,Input!$C$145:$L$146,2,FALSE))</f>
        <v>0</v>
      </c>
      <c r="X86" s="10">
        <f>IF(ISERROR(HLOOKUP(CFs!$A86,Input!$C$147:$L$148,2,FALSE)),0,HLOOKUP(CFs!$A86,Input!$C$147:$L$148,2,FALSE))</f>
        <v>0</v>
      </c>
      <c r="Y86" s="13">
        <f t="shared" si="6"/>
        <v>0</v>
      </c>
      <c r="Z86" s="10">
        <f>IF(ISERROR(HLOOKUP(CFs!$A86,Input!$C$152:$L$153,2,FALSE)),0,HLOOKUP(CFs!$A86,Input!$C$152:$L$153,2,FALSE))</f>
        <v>0</v>
      </c>
      <c r="AA86" s="10">
        <f>IF(ISERROR(HLOOKUP(CFs!$A86,Input!$C$149:$L$150,2,FALSE)),0,HLOOKUP(CFs!$A86,Input!$C$149:$L$150,2,FALSE))</f>
        <v>0</v>
      </c>
      <c r="AB86" s="10">
        <f>IF(ISERROR(HLOOKUP(CFs!$A86,Input!$C$151:$L$154,2,FALSE)),0,HLOOKUP(CFs!$A86,Input!$C$151:$L$154,2,FALSE))</f>
        <v>0</v>
      </c>
      <c r="AC86">
        <f t="shared" si="5"/>
        <v>0</v>
      </c>
      <c r="AD86" s="1" cm="1">
        <f t="array" ref="AD86">FirmaCashflow(Input!$C$165,Input!$C$166,Input!$C$163,Input!$D$163,CFs!A86)</f>
        <v>0</v>
      </c>
      <c r="AE86" s="2">
        <f>D86+G86+J86+Y86+AC86+AD86</f>
        <v>11708499.414360406</v>
      </c>
      <c r="AF86" s="2">
        <f t="shared" si="7"/>
        <v>494297313.44255459</v>
      </c>
    </row>
    <row r="87" spans="1:32" x14ac:dyDescent="0.25">
      <c r="A87">
        <v>85</v>
      </c>
      <c r="B87" s="1">
        <f>Input!$J$78/12</f>
        <v>24002237.685337197</v>
      </c>
      <c r="C87" s="1">
        <f>Input!$J$79/12</f>
        <v>290027.03869782446</v>
      </c>
      <c r="D87" s="2">
        <f>SUM(B87:C87)</f>
        <v>24292264.724035021</v>
      </c>
      <c r="E87" s="1">
        <f>Input!$J$82/12</f>
        <v>-11464697.950275384</v>
      </c>
      <c r="F87" s="1">
        <f>Input!$J$83/12</f>
        <v>-145013.51934891223</v>
      </c>
      <c r="G87" s="2">
        <f>SUM(E87:F87)</f>
        <v>-11609711.469624296</v>
      </c>
      <c r="H87" s="1">
        <f>Input!$J$110/12</f>
        <v>-467429.68248379929</v>
      </c>
      <c r="I87" s="1">
        <f>Input!$J$111/12</f>
        <v>-212627.78789676586</v>
      </c>
      <c r="J87" s="10">
        <f t="shared" si="4"/>
        <v>-680057.47038056515</v>
      </c>
      <c r="K87" s="10">
        <f>IF(ISERROR(HLOOKUP(CFs!A87,Input!$C$115:$L$117,2,FALSE)),0,HLOOKUP(CFs!A87,Input!$C$115:$L$117,2,FALSE))</f>
        <v>-256374.17488031098</v>
      </c>
      <c r="L87" s="10">
        <f>IF(ISERROR(HLOOKUP(CFs!A87,Input!$C$115:$L$117,3,FALSE)),0,HLOOKUP(CFs!A87,Input!$C$115:$L$117,3,FALSE))</f>
        <v>-147054.45095948572</v>
      </c>
      <c r="M87" s="10">
        <f>IF(ISERROR(HLOOKUP(CFs!$A87,Input!$C$119:$L$120,2,FALSE)),0,HLOOKUP(CFs!$A87,Input!$C$119:$L$120,2,FALSE))</f>
        <v>0</v>
      </c>
      <c r="N87" s="10">
        <f>IF(ISERROR(HLOOKUP(CFs!$A87,Input!$C$123:$L$124,2,FALSE)),0,HLOOKUP(CFs!$A87,Input!$C$123:$L$124,2,FALSE))</f>
        <v>0</v>
      </c>
      <c r="O87" s="10">
        <f>IF(ISERROR(HLOOKUP(CFs!$A87,Input!$C$125:$L$126,2,FALSE)),0,HLOOKUP(CFs!$A87,Input!$C$125:$L$126,2,FALSE))</f>
        <v>-538642.0019421872</v>
      </c>
      <c r="P87" s="10">
        <f>IF(ISERROR(HLOOKUP(CFs!$A87,Input!$C$129:$L$130,2,FALSE)),0,HLOOKUP(CFs!$A87,Input!$C$129:$L$130,2,FALSE))</f>
        <v>0</v>
      </c>
      <c r="Q87" s="10">
        <f>IF(ISERROR(HLOOKUP(CFs!$A87,Input!$C$131:$L$132,2,FALSE)),0,HLOOKUP(CFs!$A87,Input!$C$131:$L$132,2,FALSE))</f>
        <v>0</v>
      </c>
      <c r="R87" s="10">
        <f>IF(ISERROR(HLOOKUP(CFs!$A87,Input!$C$135:$L$136,2,FALSE)),0,HLOOKUP(CFs!$A87,Input!$C$135:$L$136,2,FALSE))</f>
        <v>0</v>
      </c>
      <c r="S87" s="10">
        <f>IF(ISERROR(HLOOKUP(CFs!$A87,Input!$C$137:$L$138,2,FALSE)),0,HLOOKUP(CFs!$A87,Input!$C$137:$L$138,2,FALSE))</f>
        <v>0</v>
      </c>
      <c r="T87" s="10">
        <f>IF(ISERROR(HLOOKUP(CFs!$A87,Input!$C$139:$L$140,2,FALSE)),0,HLOOKUP(CFs!$A87,Input!$C$139:$L$140,2,FALSE))</f>
        <v>0</v>
      </c>
      <c r="U87" s="10">
        <f>IF(ISERROR(HLOOKUP(CFs!$A87,Input!$C$141:$L$142,2,FALSE)),0,HLOOKUP(CFs!$A87,Input!$C$141:$L$142,2,FALSE))</f>
        <v>0</v>
      </c>
      <c r="V87" s="10">
        <f>IF(ISERROR(HLOOKUP(CFs!$A87,Input!$C$143:$L$144,2,FALSE)),0,HLOOKUP(CFs!$A87,Input!$C$143:$L$144,2,FALSE))</f>
        <v>0</v>
      </c>
      <c r="W87" s="10">
        <f>IF(ISERROR(HLOOKUP(CFs!$A87,Input!$C$145:$L$146,2,FALSE)),0,HLOOKUP(CFs!$A87,Input!$C$145:$L$146,2,FALSE))</f>
        <v>0</v>
      </c>
      <c r="X87" s="10">
        <f>IF(ISERROR(HLOOKUP(CFs!$A87,Input!$C$147:$L$148,2,FALSE)),0,HLOOKUP(CFs!$A87,Input!$C$147:$L$148,2,FALSE))</f>
        <v>0</v>
      </c>
      <c r="Y87" s="13">
        <f t="shared" si="6"/>
        <v>-942070.62778198393</v>
      </c>
      <c r="Z87" s="10">
        <f>IF(ISERROR(HLOOKUP(CFs!$A87,Input!$C$152:$L$153,2,FALSE)),0,HLOOKUP(CFs!$A87,Input!$C$152:$L$153,2,FALSE))</f>
        <v>0</v>
      </c>
      <c r="AA87" s="10">
        <f>IF(ISERROR(HLOOKUP(CFs!$A87,Input!$C$149:$L$150,2,FALSE)),0,HLOOKUP(CFs!$A87,Input!$C$149:$L$150,2,FALSE))</f>
        <v>0</v>
      </c>
      <c r="AB87" s="10">
        <f>IF(ISERROR(HLOOKUP(CFs!$A87,Input!$C$151:$L$154,2,FALSE)),0,HLOOKUP(CFs!$A87,Input!$C$151:$L$154,2,FALSE))</f>
        <v>0</v>
      </c>
      <c r="AC87">
        <f t="shared" si="5"/>
        <v>0</v>
      </c>
      <c r="AD87" s="1" cm="1">
        <f t="array" ref="AD87">FirmaCashflow(Input!$C$165,Input!$C$166,Input!$C$163,Input!$D$163,CFs!A87)</f>
        <v>0</v>
      </c>
      <c r="AE87" s="2">
        <f>D87+G87+J87+Y87+AC87+AD87</f>
        <v>11060425.156248176</v>
      </c>
      <c r="AF87" s="2">
        <f t="shared" si="7"/>
        <v>505357738.59880275</v>
      </c>
    </row>
    <row r="88" spans="1:32" x14ac:dyDescent="0.25">
      <c r="A88">
        <v>86</v>
      </c>
      <c r="B88" s="1">
        <f>Input!$J$78/12</f>
        <v>24002237.685337197</v>
      </c>
      <c r="C88" s="1">
        <f>Input!$J$79/12</f>
        <v>290027.03869782446</v>
      </c>
      <c r="D88" s="2">
        <f>SUM(B88:C88)</f>
        <v>24292264.724035021</v>
      </c>
      <c r="E88" s="1">
        <f>Input!$J$82/12</f>
        <v>-11464697.950275384</v>
      </c>
      <c r="F88" s="1">
        <f>Input!$J$83/12</f>
        <v>-145013.51934891223</v>
      </c>
      <c r="G88" s="2">
        <f>SUM(E88:F88)</f>
        <v>-11609711.469624296</v>
      </c>
      <c r="H88" s="1">
        <f>Input!$J$110/12</f>
        <v>-467429.68248379929</v>
      </c>
      <c r="I88" s="1">
        <f>Input!$J$111/12</f>
        <v>-212627.78789676586</v>
      </c>
      <c r="J88" s="10">
        <f t="shared" si="4"/>
        <v>-680057.47038056515</v>
      </c>
      <c r="K88" s="10">
        <f>IF(ISERROR(HLOOKUP(CFs!A88,Input!$C$115:$L$117,2,FALSE)),0,HLOOKUP(CFs!A88,Input!$C$115:$L$117,2,FALSE))</f>
        <v>0</v>
      </c>
      <c r="L88" s="10">
        <f>IF(ISERROR(HLOOKUP(CFs!A88,Input!$C$115:$L$117,3,FALSE)),0,HLOOKUP(CFs!A88,Input!$C$115:$L$117,3,FALSE))</f>
        <v>0</v>
      </c>
      <c r="M88" s="10">
        <f>IF(ISERROR(HLOOKUP(CFs!$A88,Input!$C$119:$L$120,2,FALSE)),0,HLOOKUP(CFs!$A88,Input!$C$119:$L$120,2,FALSE))</f>
        <v>0</v>
      </c>
      <c r="N88" s="10">
        <f>IF(ISERROR(HLOOKUP(CFs!$A88,Input!$C$123:$L$124,2,FALSE)),0,HLOOKUP(CFs!$A88,Input!$C$123:$L$124,2,FALSE))</f>
        <v>0</v>
      </c>
      <c r="O88" s="10">
        <f>IF(ISERROR(HLOOKUP(CFs!$A88,Input!$C$125:$L$126,2,FALSE)),0,HLOOKUP(CFs!$A88,Input!$C$125:$L$126,2,FALSE))</f>
        <v>0</v>
      </c>
      <c r="P88" s="10">
        <f>IF(ISERROR(HLOOKUP(CFs!$A88,Input!$C$129:$L$130,2,FALSE)),0,HLOOKUP(CFs!$A88,Input!$C$129:$L$130,2,FALSE))</f>
        <v>0</v>
      </c>
      <c r="Q88" s="10">
        <f>IF(ISERROR(HLOOKUP(CFs!$A88,Input!$C$131:$L$132,2,FALSE)),0,HLOOKUP(CFs!$A88,Input!$C$131:$L$132,2,FALSE))</f>
        <v>0</v>
      </c>
      <c r="R88" s="10">
        <f>IF(ISERROR(HLOOKUP(CFs!$A88,Input!$C$135:$L$136,2,FALSE)),0,HLOOKUP(CFs!$A88,Input!$C$135:$L$136,2,FALSE))</f>
        <v>0</v>
      </c>
      <c r="S88" s="10">
        <f>IF(ISERROR(HLOOKUP(CFs!$A88,Input!$C$137:$L$138,2,FALSE)),0,HLOOKUP(CFs!$A88,Input!$C$137:$L$138,2,FALSE))</f>
        <v>0</v>
      </c>
      <c r="T88" s="10">
        <f>IF(ISERROR(HLOOKUP(CFs!$A88,Input!$C$139:$L$140,2,FALSE)),0,HLOOKUP(CFs!$A88,Input!$C$139:$L$140,2,FALSE))</f>
        <v>0</v>
      </c>
      <c r="U88" s="10">
        <f>IF(ISERROR(HLOOKUP(CFs!$A88,Input!$C$141:$L$142,2,FALSE)),0,HLOOKUP(CFs!$A88,Input!$C$141:$L$142,2,FALSE))</f>
        <v>0</v>
      </c>
      <c r="V88" s="10">
        <f>IF(ISERROR(HLOOKUP(CFs!$A88,Input!$C$143:$L$144,2,FALSE)),0,HLOOKUP(CFs!$A88,Input!$C$143:$L$144,2,FALSE))</f>
        <v>0</v>
      </c>
      <c r="W88" s="10">
        <f>IF(ISERROR(HLOOKUP(CFs!$A88,Input!$C$145:$L$146,2,FALSE)),0,HLOOKUP(CFs!$A88,Input!$C$145:$L$146,2,FALSE))</f>
        <v>0</v>
      </c>
      <c r="X88" s="10">
        <f>IF(ISERROR(HLOOKUP(CFs!$A88,Input!$C$147:$L$148,2,FALSE)),0,HLOOKUP(CFs!$A88,Input!$C$147:$L$148,2,FALSE))</f>
        <v>0</v>
      </c>
      <c r="Y88" s="13">
        <f t="shared" si="6"/>
        <v>0</v>
      </c>
      <c r="Z88" s="10">
        <f>IF(ISERROR(HLOOKUP(CFs!$A88,Input!$C$152:$L$153,2,FALSE)),0,HLOOKUP(CFs!$A88,Input!$C$152:$L$153,2,FALSE))</f>
        <v>0</v>
      </c>
      <c r="AA88" s="10">
        <f>IF(ISERROR(HLOOKUP(CFs!$A88,Input!$C$149:$L$150,2,FALSE)),0,HLOOKUP(CFs!$A88,Input!$C$149:$L$150,2,FALSE))</f>
        <v>0</v>
      </c>
      <c r="AB88" s="10">
        <f>IF(ISERROR(HLOOKUP(CFs!$A88,Input!$C$151:$L$154,2,FALSE)),0,HLOOKUP(CFs!$A88,Input!$C$151:$L$154,2,FALSE))</f>
        <v>0</v>
      </c>
      <c r="AC88">
        <f t="shared" si="5"/>
        <v>0</v>
      </c>
      <c r="AD88" s="1" cm="1">
        <f t="array" ref="AD88">FirmaCashflow(Input!$C$165,Input!$C$166,Input!$C$163,Input!$D$163,CFs!A88)</f>
        <v>0</v>
      </c>
      <c r="AE88" s="2">
        <f>D88+G88+J88+Y88+AC88+AD88</f>
        <v>12002495.78403016</v>
      </c>
      <c r="AF88" s="2">
        <f t="shared" si="7"/>
        <v>517360234.38283288</v>
      </c>
    </row>
    <row r="89" spans="1:32" x14ac:dyDescent="0.25">
      <c r="A89">
        <v>87</v>
      </c>
      <c r="B89" s="1">
        <f>Input!$J$78/12</f>
        <v>24002237.685337197</v>
      </c>
      <c r="C89" s="1">
        <f>Input!$J$79/12</f>
        <v>290027.03869782446</v>
      </c>
      <c r="D89" s="2">
        <f>SUM(B89:C89)</f>
        <v>24292264.724035021</v>
      </c>
      <c r="E89" s="1">
        <f>Input!$J$82/12</f>
        <v>-11464697.950275384</v>
      </c>
      <c r="F89" s="1">
        <f>Input!$J$83/12</f>
        <v>-145013.51934891223</v>
      </c>
      <c r="G89" s="2">
        <f>SUM(E89:F89)</f>
        <v>-11609711.469624296</v>
      </c>
      <c r="H89" s="1">
        <f>Input!$J$110/12</f>
        <v>-467429.68248379929</v>
      </c>
      <c r="I89" s="1">
        <f>Input!$J$111/12</f>
        <v>-212627.78789676586</v>
      </c>
      <c r="J89" s="10">
        <f t="shared" si="4"/>
        <v>-680057.47038056515</v>
      </c>
      <c r="K89" s="10">
        <f>IF(ISERROR(HLOOKUP(CFs!A89,Input!$C$115:$L$117,2,FALSE)),0,HLOOKUP(CFs!A89,Input!$C$115:$L$117,2,FALSE))</f>
        <v>0</v>
      </c>
      <c r="L89" s="10">
        <f>IF(ISERROR(HLOOKUP(CFs!A89,Input!$C$115:$L$117,3,FALSE)),0,HLOOKUP(CFs!A89,Input!$C$115:$L$117,3,FALSE))</f>
        <v>0</v>
      </c>
      <c r="M89" s="10">
        <f>IF(ISERROR(HLOOKUP(CFs!$A89,Input!$C$119:$L$120,2,FALSE)),0,HLOOKUP(CFs!$A89,Input!$C$119:$L$120,2,FALSE))</f>
        <v>0</v>
      </c>
      <c r="N89" s="10">
        <f>IF(ISERROR(HLOOKUP(CFs!$A89,Input!$C$123:$L$124,2,FALSE)),0,HLOOKUP(CFs!$A89,Input!$C$123:$L$124,2,FALSE))</f>
        <v>0</v>
      </c>
      <c r="O89" s="10">
        <f>IF(ISERROR(HLOOKUP(CFs!$A89,Input!$C$125:$L$126,2,FALSE)),0,HLOOKUP(CFs!$A89,Input!$C$125:$L$126,2,FALSE))</f>
        <v>0</v>
      </c>
      <c r="P89" s="10">
        <f>IF(ISERROR(HLOOKUP(CFs!$A89,Input!$C$129:$L$130,2,FALSE)),0,HLOOKUP(CFs!$A89,Input!$C$129:$L$130,2,FALSE))</f>
        <v>0</v>
      </c>
      <c r="Q89" s="10">
        <f>IF(ISERROR(HLOOKUP(CFs!$A89,Input!$C$131:$L$132,2,FALSE)),0,HLOOKUP(CFs!$A89,Input!$C$131:$L$132,2,FALSE))</f>
        <v>0</v>
      </c>
      <c r="R89" s="10">
        <f>IF(ISERROR(HLOOKUP(CFs!$A89,Input!$C$135:$L$136,2,FALSE)),0,HLOOKUP(CFs!$A89,Input!$C$135:$L$136,2,FALSE))</f>
        <v>0</v>
      </c>
      <c r="S89" s="10">
        <f>IF(ISERROR(HLOOKUP(CFs!$A89,Input!$C$137:$L$138,2,FALSE)),0,HLOOKUP(CFs!$A89,Input!$C$137:$L$138,2,FALSE))</f>
        <v>0</v>
      </c>
      <c r="T89" s="10">
        <f>IF(ISERROR(HLOOKUP(CFs!$A89,Input!$C$139:$L$140,2,FALSE)),0,HLOOKUP(CFs!$A89,Input!$C$139:$L$140,2,FALSE))</f>
        <v>0</v>
      </c>
      <c r="U89" s="10">
        <f>IF(ISERROR(HLOOKUP(CFs!$A89,Input!$C$141:$L$142,2,FALSE)),0,HLOOKUP(CFs!$A89,Input!$C$141:$L$142,2,FALSE))</f>
        <v>0</v>
      </c>
      <c r="V89" s="10">
        <f>IF(ISERROR(HLOOKUP(CFs!$A89,Input!$C$143:$L$144,2,FALSE)),0,HLOOKUP(CFs!$A89,Input!$C$143:$L$144,2,FALSE))</f>
        <v>0</v>
      </c>
      <c r="W89" s="10">
        <f>IF(ISERROR(HLOOKUP(CFs!$A89,Input!$C$145:$L$146,2,FALSE)),0,HLOOKUP(CFs!$A89,Input!$C$145:$L$146,2,FALSE))</f>
        <v>0</v>
      </c>
      <c r="X89" s="10">
        <f>IF(ISERROR(HLOOKUP(CFs!$A89,Input!$C$147:$L$148,2,FALSE)),0,HLOOKUP(CFs!$A89,Input!$C$147:$L$148,2,FALSE))</f>
        <v>0</v>
      </c>
      <c r="Y89" s="13">
        <f t="shared" si="6"/>
        <v>0</v>
      </c>
      <c r="Z89" s="10">
        <f>IF(ISERROR(HLOOKUP(CFs!$A89,Input!$C$152:$L$153,2,FALSE)),0,HLOOKUP(CFs!$A89,Input!$C$152:$L$153,2,FALSE))</f>
        <v>0</v>
      </c>
      <c r="AA89" s="10">
        <f>IF(ISERROR(HLOOKUP(CFs!$A89,Input!$C$149:$L$150,2,FALSE)),0,HLOOKUP(CFs!$A89,Input!$C$149:$L$150,2,FALSE))</f>
        <v>0</v>
      </c>
      <c r="AB89" s="10">
        <f>IF(ISERROR(HLOOKUP(CFs!$A89,Input!$C$151:$L$154,2,FALSE)),0,HLOOKUP(CFs!$A89,Input!$C$151:$L$154,2,FALSE))</f>
        <v>0</v>
      </c>
      <c r="AC89">
        <f t="shared" si="5"/>
        <v>0</v>
      </c>
      <c r="AD89" s="1" cm="1">
        <f t="array" ref="AD89">FirmaCashflow(Input!$C$165,Input!$C$166,Input!$C$163,Input!$D$163,CFs!A89)</f>
        <v>0</v>
      </c>
      <c r="AE89" s="2">
        <f>D89+G89+J89+Y89+AC89+AD89</f>
        <v>12002495.78403016</v>
      </c>
      <c r="AF89" s="2">
        <f t="shared" si="7"/>
        <v>529362730.16686302</v>
      </c>
    </row>
    <row r="90" spans="1:32" x14ac:dyDescent="0.25">
      <c r="A90">
        <v>88</v>
      </c>
      <c r="B90" s="1">
        <f>Input!$J$78/12</f>
        <v>24002237.685337197</v>
      </c>
      <c r="C90" s="1">
        <f>Input!$J$79/12</f>
        <v>290027.03869782446</v>
      </c>
      <c r="D90" s="2">
        <f>SUM(B90:C90)</f>
        <v>24292264.724035021</v>
      </c>
      <c r="E90" s="1">
        <f>Input!$J$82/12</f>
        <v>-11464697.950275384</v>
      </c>
      <c r="F90" s="1">
        <f>Input!$J$83/12</f>
        <v>-145013.51934891223</v>
      </c>
      <c r="G90" s="2">
        <f>SUM(E90:F90)</f>
        <v>-11609711.469624296</v>
      </c>
      <c r="H90" s="1">
        <f>Input!$J$110/12</f>
        <v>-467429.68248379929</v>
      </c>
      <c r="I90" s="1">
        <f>Input!$J$111/12</f>
        <v>-212627.78789676586</v>
      </c>
      <c r="J90" s="10">
        <f t="shared" si="4"/>
        <v>-680057.47038056515</v>
      </c>
      <c r="K90" s="10">
        <f>IF(ISERROR(HLOOKUP(CFs!A90,Input!$C$115:$L$117,2,FALSE)),0,HLOOKUP(CFs!A90,Input!$C$115:$L$117,2,FALSE))</f>
        <v>0</v>
      </c>
      <c r="L90" s="10">
        <f>IF(ISERROR(HLOOKUP(CFs!A90,Input!$C$115:$L$117,3,FALSE)),0,HLOOKUP(CFs!A90,Input!$C$115:$L$117,3,FALSE))</f>
        <v>0</v>
      </c>
      <c r="M90" s="10">
        <f>IF(ISERROR(HLOOKUP(CFs!$A90,Input!$C$119:$L$120,2,FALSE)),0,HLOOKUP(CFs!$A90,Input!$C$119:$L$120,2,FALSE))</f>
        <v>0</v>
      </c>
      <c r="N90" s="10">
        <f>IF(ISERROR(HLOOKUP(CFs!$A90,Input!$C$123:$L$124,2,FALSE)),0,HLOOKUP(CFs!$A90,Input!$C$123:$L$124,2,FALSE))</f>
        <v>0</v>
      </c>
      <c r="O90" s="10">
        <f>IF(ISERROR(HLOOKUP(CFs!$A90,Input!$C$125:$L$126,2,FALSE)),0,HLOOKUP(CFs!$A90,Input!$C$125:$L$126,2,FALSE))</f>
        <v>0</v>
      </c>
      <c r="P90" s="10">
        <f>IF(ISERROR(HLOOKUP(CFs!$A90,Input!$C$129:$L$130,2,FALSE)),0,HLOOKUP(CFs!$A90,Input!$C$129:$L$130,2,FALSE))</f>
        <v>0</v>
      </c>
      <c r="Q90" s="10">
        <f>IF(ISERROR(HLOOKUP(CFs!$A90,Input!$C$131:$L$132,2,FALSE)),0,HLOOKUP(CFs!$A90,Input!$C$131:$L$132,2,FALSE))</f>
        <v>0</v>
      </c>
      <c r="R90" s="10">
        <f>IF(ISERROR(HLOOKUP(CFs!$A90,Input!$C$135:$L$136,2,FALSE)),0,HLOOKUP(CFs!$A90,Input!$C$135:$L$136,2,FALSE))</f>
        <v>0</v>
      </c>
      <c r="S90" s="10">
        <f>IF(ISERROR(HLOOKUP(CFs!$A90,Input!$C$137:$L$138,2,FALSE)),0,HLOOKUP(CFs!$A90,Input!$C$137:$L$138,2,FALSE))</f>
        <v>0</v>
      </c>
      <c r="T90" s="10">
        <f>IF(ISERROR(HLOOKUP(CFs!$A90,Input!$C$139:$L$140,2,FALSE)),0,HLOOKUP(CFs!$A90,Input!$C$139:$L$140,2,FALSE))</f>
        <v>0</v>
      </c>
      <c r="U90" s="10">
        <f>IF(ISERROR(HLOOKUP(CFs!$A90,Input!$C$141:$L$142,2,FALSE)),0,HLOOKUP(CFs!$A90,Input!$C$141:$L$142,2,FALSE))</f>
        <v>0</v>
      </c>
      <c r="V90" s="10">
        <f>IF(ISERROR(HLOOKUP(CFs!$A90,Input!$C$143:$L$144,2,FALSE)),0,HLOOKUP(CFs!$A90,Input!$C$143:$L$144,2,FALSE))</f>
        <v>0</v>
      </c>
      <c r="W90" s="10">
        <f>IF(ISERROR(HLOOKUP(CFs!$A90,Input!$C$145:$L$146,2,FALSE)),0,HLOOKUP(CFs!$A90,Input!$C$145:$L$146,2,FALSE))</f>
        <v>0</v>
      </c>
      <c r="X90" s="10">
        <f>IF(ISERROR(HLOOKUP(CFs!$A90,Input!$C$147:$L$148,2,FALSE)),0,HLOOKUP(CFs!$A90,Input!$C$147:$L$148,2,FALSE))</f>
        <v>0</v>
      </c>
      <c r="Y90" s="13">
        <f t="shared" si="6"/>
        <v>0</v>
      </c>
      <c r="Z90" s="10">
        <f>IF(ISERROR(HLOOKUP(CFs!$A90,Input!$C$152:$L$153,2,FALSE)),0,HLOOKUP(CFs!$A90,Input!$C$152:$L$153,2,FALSE))</f>
        <v>0</v>
      </c>
      <c r="AA90" s="10">
        <f>IF(ISERROR(HLOOKUP(CFs!$A90,Input!$C$149:$L$150,2,FALSE)),0,HLOOKUP(CFs!$A90,Input!$C$149:$L$150,2,FALSE))</f>
        <v>0</v>
      </c>
      <c r="AB90" s="10">
        <f>IF(ISERROR(HLOOKUP(CFs!$A90,Input!$C$151:$L$154,2,FALSE)),0,HLOOKUP(CFs!$A90,Input!$C$151:$L$154,2,FALSE))</f>
        <v>0</v>
      </c>
      <c r="AC90">
        <f t="shared" si="5"/>
        <v>0</v>
      </c>
      <c r="AD90" s="1" cm="1">
        <f t="array" ref="AD90">FirmaCashflow(Input!$C$165,Input!$C$166,Input!$C$163,Input!$D$163,CFs!A90)</f>
        <v>0</v>
      </c>
      <c r="AE90" s="2">
        <f>D90+G90+J90+Y90+AC90+AD90</f>
        <v>12002495.78403016</v>
      </c>
      <c r="AF90" s="2">
        <f t="shared" si="7"/>
        <v>541365225.95089316</v>
      </c>
    </row>
    <row r="91" spans="1:32" x14ac:dyDescent="0.25">
      <c r="A91">
        <v>89</v>
      </c>
      <c r="B91" s="1">
        <f>Input!$J$78/12</f>
        <v>24002237.685337197</v>
      </c>
      <c r="C91" s="1">
        <f>Input!$J$79/12</f>
        <v>290027.03869782446</v>
      </c>
      <c r="D91" s="2">
        <f>SUM(B91:C91)</f>
        <v>24292264.724035021</v>
      </c>
      <c r="E91" s="1">
        <f>Input!$J$82/12</f>
        <v>-11464697.950275384</v>
      </c>
      <c r="F91" s="1">
        <f>Input!$J$83/12</f>
        <v>-145013.51934891223</v>
      </c>
      <c r="G91" s="2">
        <f>SUM(E91:F91)</f>
        <v>-11609711.469624296</v>
      </c>
      <c r="H91" s="1">
        <f>Input!$J$110/12</f>
        <v>-467429.68248379929</v>
      </c>
      <c r="I91" s="1">
        <f>Input!$J$111/12</f>
        <v>-212627.78789676586</v>
      </c>
      <c r="J91" s="10">
        <f t="shared" si="4"/>
        <v>-680057.47038056515</v>
      </c>
      <c r="K91" s="10">
        <f>IF(ISERROR(HLOOKUP(CFs!A91,Input!$C$115:$L$117,2,FALSE)),0,HLOOKUP(CFs!A91,Input!$C$115:$L$117,2,FALSE))</f>
        <v>0</v>
      </c>
      <c r="L91" s="10">
        <f>IF(ISERROR(HLOOKUP(CFs!A91,Input!$C$115:$L$117,3,FALSE)),0,HLOOKUP(CFs!A91,Input!$C$115:$L$117,3,FALSE))</f>
        <v>0</v>
      </c>
      <c r="M91" s="10">
        <f>IF(ISERROR(HLOOKUP(CFs!$A91,Input!$C$119:$L$120,2,FALSE)),0,HLOOKUP(CFs!$A91,Input!$C$119:$L$120,2,FALSE))</f>
        <v>0</v>
      </c>
      <c r="N91" s="10">
        <f>IF(ISERROR(HLOOKUP(CFs!$A91,Input!$C$123:$L$124,2,FALSE)),0,HLOOKUP(CFs!$A91,Input!$C$123:$L$124,2,FALSE))</f>
        <v>0</v>
      </c>
      <c r="O91" s="10">
        <f>IF(ISERROR(HLOOKUP(CFs!$A91,Input!$C$125:$L$126,2,FALSE)),0,HLOOKUP(CFs!$A91,Input!$C$125:$L$126,2,FALSE))</f>
        <v>0</v>
      </c>
      <c r="P91" s="10">
        <f>IF(ISERROR(HLOOKUP(CFs!$A91,Input!$C$129:$L$130,2,FALSE)),0,HLOOKUP(CFs!$A91,Input!$C$129:$L$130,2,FALSE))</f>
        <v>0</v>
      </c>
      <c r="Q91" s="10">
        <f>IF(ISERROR(HLOOKUP(CFs!$A91,Input!$C$131:$L$132,2,FALSE)),0,HLOOKUP(CFs!$A91,Input!$C$131:$L$132,2,FALSE))</f>
        <v>0</v>
      </c>
      <c r="R91" s="10">
        <f>IF(ISERROR(HLOOKUP(CFs!$A91,Input!$C$135:$L$136,2,FALSE)),0,HLOOKUP(CFs!$A91,Input!$C$135:$L$136,2,FALSE))</f>
        <v>0</v>
      </c>
      <c r="S91" s="10">
        <f>IF(ISERROR(HLOOKUP(CFs!$A91,Input!$C$137:$L$138,2,FALSE)),0,HLOOKUP(CFs!$A91,Input!$C$137:$L$138,2,FALSE))</f>
        <v>0</v>
      </c>
      <c r="T91" s="10">
        <f>IF(ISERROR(HLOOKUP(CFs!$A91,Input!$C$139:$L$140,2,FALSE)),0,HLOOKUP(CFs!$A91,Input!$C$139:$L$140,2,FALSE))</f>
        <v>0</v>
      </c>
      <c r="U91" s="10">
        <f>IF(ISERROR(HLOOKUP(CFs!$A91,Input!$C$141:$L$142,2,FALSE)),0,HLOOKUP(CFs!$A91,Input!$C$141:$L$142,2,FALSE))</f>
        <v>0</v>
      </c>
      <c r="V91" s="10">
        <f>IF(ISERROR(HLOOKUP(CFs!$A91,Input!$C$143:$L$144,2,FALSE)),0,HLOOKUP(CFs!$A91,Input!$C$143:$L$144,2,FALSE))</f>
        <v>0</v>
      </c>
      <c r="W91" s="10">
        <f>IF(ISERROR(HLOOKUP(CFs!$A91,Input!$C$145:$L$146,2,FALSE)),0,HLOOKUP(CFs!$A91,Input!$C$145:$L$146,2,FALSE))</f>
        <v>0</v>
      </c>
      <c r="X91" s="10">
        <f>IF(ISERROR(HLOOKUP(CFs!$A91,Input!$C$147:$L$148,2,FALSE)),0,HLOOKUP(CFs!$A91,Input!$C$147:$L$148,2,FALSE))</f>
        <v>0</v>
      </c>
      <c r="Y91" s="13">
        <f t="shared" si="6"/>
        <v>0</v>
      </c>
      <c r="Z91" s="10">
        <f>IF(ISERROR(HLOOKUP(CFs!$A91,Input!$C$152:$L$153,2,FALSE)),0,HLOOKUP(CFs!$A91,Input!$C$152:$L$153,2,FALSE))</f>
        <v>0</v>
      </c>
      <c r="AA91" s="10">
        <f>IF(ISERROR(HLOOKUP(CFs!$A91,Input!$C$149:$L$150,2,FALSE)),0,HLOOKUP(CFs!$A91,Input!$C$149:$L$150,2,FALSE))</f>
        <v>0</v>
      </c>
      <c r="AB91" s="10">
        <f>IF(ISERROR(HLOOKUP(CFs!$A91,Input!$C$151:$L$154,2,FALSE)),0,HLOOKUP(CFs!$A91,Input!$C$151:$L$154,2,FALSE))</f>
        <v>0</v>
      </c>
      <c r="AC91">
        <f t="shared" si="5"/>
        <v>0</v>
      </c>
      <c r="AD91" s="1" cm="1">
        <f t="array" ref="AD91">FirmaCashflow(Input!$C$165,Input!$C$166,Input!$C$163,Input!$D$163,CFs!A91)</f>
        <v>0</v>
      </c>
      <c r="AE91" s="2">
        <f>D91+G91+J91+Y91+AC91+AD91</f>
        <v>12002495.78403016</v>
      </c>
      <c r="AF91" s="2">
        <f t="shared" si="7"/>
        <v>553367721.73492336</v>
      </c>
    </row>
    <row r="92" spans="1:32" x14ac:dyDescent="0.25">
      <c r="A92">
        <v>90</v>
      </c>
      <c r="B92" s="1">
        <f>Input!$J$78/12</f>
        <v>24002237.685337197</v>
      </c>
      <c r="C92" s="1">
        <f>Input!$J$79/12</f>
        <v>290027.03869782446</v>
      </c>
      <c r="D92" s="2">
        <f>SUM(B92:C92)</f>
        <v>24292264.724035021</v>
      </c>
      <c r="E92" s="1">
        <f>Input!$J$82/12</f>
        <v>-11464697.950275384</v>
      </c>
      <c r="F92" s="1">
        <f>Input!$J$83/12</f>
        <v>-145013.51934891223</v>
      </c>
      <c r="G92" s="2">
        <f>SUM(E92:F92)</f>
        <v>-11609711.469624296</v>
      </c>
      <c r="H92" s="1">
        <f>Input!$J$110/12</f>
        <v>-467429.68248379929</v>
      </c>
      <c r="I92" s="1">
        <f>Input!$J$111/12</f>
        <v>-212627.78789676586</v>
      </c>
      <c r="J92" s="10">
        <f t="shared" si="4"/>
        <v>-680057.47038056515</v>
      </c>
      <c r="K92" s="10">
        <f>IF(ISERROR(HLOOKUP(CFs!A92,Input!$C$115:$L$117,2,FALSE)),0,HLOOKUP(CFs!A92,Input!$C$115:$L$117,2,FALSE))</f>
        <v>0</v>
      </c>
      <c r="L92" s="10">
        <f>IF(ISERROR(HLOOKUP(CFs!A92,Input!$C$115:$L$117,3,FALSE)),0,HLOOKUP(CFs!A92,Input!$C$115:$L$117,3,FALSE))</f>
        <v>0</v>
      </c>
      <c r="M92" s="10">
        <f>IF(ISERROR(HLOOKUP(CFs!$A92,Input!$C$119:$L$120,2,FALSE)),0,HLOOKUP(CFs!$A92,Input!$C$119:$L$120,2,FALSE))</f>
        <v>-646370.40233062452</v>
      </c>
      <c r="N92" s="10">
        <f>IF(ISERROR(HLOOKUP(CFs!$A92,Input!$C$123:$L$124,2,FALSE)),0,HLOOKUP(CFs!$A92,Input!$C$123:$L$124,2,FALSE))</f>
        <v>0</v>
      </c>
      <c r="O92" s="10">
        <f>IF(ISERROR(HLOOKUP(CFs!$A92,Input!$C$125:$L$126,2,FALSE)),0,HLOOKUP(CFs!$A92,Input!$C$125:$L$126,2,FALSE))</f>
        <v>0</v>
      </c>
      <c r="P92" s="10">
        <f>IF(ISERROR(HLOOKUP(CFs!$A92,Input!$C$129:$L$130,2,FALSE)),0,HLOOKUP(CFs!$A92,Input!$C$129:$L$130,2,FALSE))</f>
        <v>0</v>
      </c>
      <c r="Q92" s="10">
        <f>IF(ISERROR(HLOOKUP(CFs!$A92,Input!$C$131:$L$132,2,FALSE)),0,HLOOKUP(CFs!$A92,Input!$C$131:$L$132,2,FALSE))</f>
        <v>0</v>
      </c>
      <c r="R92" s="10">
        <f>IF(ISERROR(HLOOKUP(CFs!$A92,Input!$C$135:$L$136,2,FALSE)),0,HLOOKUP(CFs!$A92,Input!$C$135:$L$136,2,FALSE))</f>
        <v>0</v>
      </c>
      <c r="S92" s="10">
        <f>IF(ISERROR(HLOOKUP(CFs!$A92,Input!$C$137:$L$138,2,FALSE)),0,HLOOKUP(CFs!$A92,Input!$C$137:$L$138,2,FALSE))</f>
        <v>0</v>
      </c>
      <c r="T92" s="10">
        <f>IF(ISERROR(HLOOKUP(CFs!$A92,Input!$C$139:$L$140,2,FALSE)),0,HLOOKUP(CFs!$A92,Input!$C$139:$L$140,2,FALSE))</f>
        <v>0</v>
      </c>
      <c r="U92" s="10">
        <f>IF(ISERROR(HLOOKUP(CFs!$A92,Input!$C$141:$L$142,2,FALSE)),0,HLOOKUP(CFs!$A92,Input!$C$141:$L$142,2,FALSE))</f>
        <v>0</v>
      </c>
      <c r="V92" s="10">
        <f>IF(ISERROR(HLOOKUP(CFs!$A92,Input!$C$143:$L$144,2,FALSE)),0,HLOOKUP(CFs!$A92,Input!$C$143:$L$144,2,FALSE))</f>
        <v>0</v>
      </c>
      <c r="W92" s="10">
        <f>IF(ISERROR(HLOOKUP(CFs!$A92,Input!$C$145:$L$146,2,FALSE)),0,HLOOKUP(CFs!$A92,Input!$C$145:$L$146,2,FALSE))</f>
        <v>0</v>
      </c>
      <c r="X92" s="10">
        <f>IF(ISERROR(HLOOKUP(CFs!$A92,Input!$C$147:$L$148,2,FALSE)),0,HLOOKUP(CFs!$A92,Input!$C$147:$L$148,2,FALSE))</f>
        <v>0</v>
      </c>
      <c r="Y92" s="13">
        <f t="shared" si="6"/>
        <v>-646370.40233062452</v>
      </c>
      <c r="Z92" s="10">
        <f>IF(ISERROR(HLOOKUP(CFs!$A92,Input!$C$152:$L$153,2,FALSE)),0,HLOOKUP(CFs!$A92,Input!$C$152:$L$153,2,FALSE))</f>
        <v>0</v>
      </c>
      <c r="AA92" s="10">
        <f>IF(ISERROR(HLOOKUP(CFs!$A92,Input!$C$149:$L$150,2,FALSE)),0,HLOOKUP(CFs!$A92,Input!$C$149:$L$150,2,FALSE))</f>
        <v>0</v>
      </c>
      <c r="AB92" s="10">
        <f>IF(ISERROR(HLOOKUP(CFs!$A92,Input!$C$151:$L$154,2,FALSE)),0,HLOOKUP(CFs!$A92,Input!$C$151:$L$154,2,FALSE))</f>
        <v>0</v>
      </c>
      <c r="AC92">
        <f t="shared" si="5"/>
        <v>0</v>
      </c>
      <c r="AD92" s="1" cm="1">
        <f t="array" ref="AD92">FirmaCashflow(Input!$C$165,Input!$C$166,Input!$C$163,Input!$D$163,CFs!A92)</f>
        <v>0</v>
      </c>
      <c r="AE92" s="2">
        <f>D92+G92+J92+Y92+AC92+AD92</f>
        <v>11356125.381699536</v>
      </c>
      <c r="AF92" s="2">
        <f t="shared" si="7"/>
        <v>564723847.11662292</v>
      </c>
    </row>
    <row r="93" spans="1:32" x14ac:dyDescent="0.25">
      <c r="A93">
        <v>91</v>
      </c>
      <c r="B93" s="1">
        <f>Input!$J$78/12</f>
        <v>24002237.685337197</v>
      </c>
      <c r="C93" s="1">
        <f>Input!$J$79/12</f>
        <v>290027.03869782446</v>
      </c>
      <c r="D93" s="2">
        <f>SUM(B93:C93)</f>
        <v>24292264.724035021</v>
      </c>
      <c r="E93" s="1">
        <f>Input!$J$82/12</f>
        <v>-11464697.950275384</v>
      </c>
      <c r="F93" s="1">
        <f>Input!$J$83/12</f>
        <v>-145013.51934891223</v>
      </c>
      <c r="G93" s="2">
        <f>SUM(E93:F93)</f>
        <v>-11609711.469624296</v>
      </c>
      <c r="H93" s="1">
        <f>Input!$J$110/12</f>
        <v>-467429.68248379929</v>
      </c>
      <c r="I93" s="1">
        <f>Input!$J$111/12</f>
        <v>-212627.78789676586</v>
      </c>
      <c r="J93" s="10">
        <f t="shared" si="4"/>
        <v>-680057.47038056515</v>
      </c>
      <c r="K93" s="10">
        <f>IF(ISERROR(HLOOKUP(CFs!A93,Input!$C$115:$L$117,2,FALSE)),0,HLOOKUP(CFs!A93,Input!$C$115:$L$117,2,FALSE))</f>
        <v>0</v>
      </c>
      <c r="L93" s="10">
        <f>IF(ISERROR(HLOOKUP(CFs!A93,Input!$C$115:$L$117,3,FALSE)),0,HLOOKUP(CFs!A93,Input!$C$115:$L$117,3,FALSE))</f>
        <v>0</v>
      </c>
      <c r="M93" s="10">
        <f>IF(ISERROR(HLOOKUP(CFs!$A93,Input!$C$119:$L$120,2,FALSE)),0,HLOOKUP(CFs!$A93,Input!$C$119:$L$120,2,FALSE))</f>
        <v>0</v>
      </c>
      <c r="N93" s="10">
        <f>IF(ISERROR(HLOOKUP(CFs!$A93,Input!$C$123:$L$124,2,FALSE)),0,HLOOKUP(CFs!$A93,Input!$C$123:$L$124,2,FALSE))</f>
        <v>0</v>
      </c>
      <c r="O93" s="10">
        <f>IF(ISERROR(HLOOKUP(CFs!$A93,Input!$C$125:$L$126,2,FALSE)),0,HLOOKUP(CFs!$A93,Input!$C$125:$L$126,2,FALSE))</f>
        <v>0</v>
      </c>
      <c r="P93" s="10">
        <f>IF(ISERROR(HLOOKUP(CFs!$A93,Input!$C$129:$L$130,2,FALSE)),0,HLOOKUP(CFs!$A93,Input!$C$129:$L$130,2,FALSE))</f>
        <v>0</v>
      </c>
      <c r="Q93" s="10">
        <f>IF(ISERROR(HLOOKUP(CFs!$A93,Input!$C$131:$L$132,2,FALSE)),0,HLOOKUP(CFs!$A93,Input!$C$131:$L$132,2,FALSE))</f>
        <v>0</v>
      </c>
      <c r="R93" s="10">
        <f>IF(ISERROR(HLOOKUP(CFs!$A93,Input!$C$135:$L$136,2,FALSE)),0,HLOOKUP(CFs!$A93,Input!$C$135:$L$136,2,FALSE))</f>
        <v>0</v>
      </c>
      <c r="S93" s="10">
        <f>IF(ISERROR(HLOOKUP(CFs!$A93,Input!$C$137:$L$138,2,FALSE)),0,HLOOKUP(CFs!$A93,Input!$C$137:$L$138,2,FALSE))</f>
        <v>0</v>
      </c>
      <c r="T93" s="10">
        <f>IF(ISERROR(HLOOKUP(CFs!$A93,Input!$C$139:$L$140,2,FALSE)),0,HLOOKUP(CFs!$A93,Input!$C$139:$L$140,2,FALSE))</f>
        <v>0</v>
      </c>
      <c r="U93" s="10">
        <f>IF(ISERROR(HLOOKUP(CFs!$A93,Input!$C$141:$L$142,2,FALSE)),0,HLOOKUP(CFs!$A93,Input!$C$141:$L$142,2,FALSE))</f>
        <v>0</v>
      </c>
      <c r="V93" s="10">
        <f>IF(ISERROR(HLOOKUP(CFs!$A93,Input!$C$143:$L$144,2,FALSE)),0,HLOOKUP(CFs!$A93,Input!$C$143:$L$144,2,FALSE))</f>
        <v>0</v>
      </c>
      <c r="W93" s="10">
        <f>IF(ISERROR(HLOOKUP(CFs!$A93,Input!$C$145:$L$146,2,FALSE)),0,HLOOKUP(CFs!$A93,Input!$C$145:$L$146,2,FALSE))</f>
        <v>0</v>
      </c>
      <c r="X93" s="10">
        <f>IF(ISERROR(HLOOKUP(CFs!$A93,Input!$C$147:$L$148,2,FALSE)),0,HLOOKUP(CFs!$A93,Input!$C$147:$L$148,2,FALSE))</f>
        <v>0</v>
      </c>
      <c r="Y93" s="13">
        <f t="shared" si="6"/>
        <v>0</v>
      </c>
      <c r="Z93" s="10">
        <f>IF(ISERROR(HLOOKUP(CFs!$A93,Input!$C$152:$L$153,2,FALSE)),0,HLOOKUP(CFs!$A93,Input!$C$152:$L$153,2,FALSE))</f>
        <v>0</v>
      </c>
      <c r="AA93" s="10">
        <f>IF(ISERROR(HLOOKUP(CFs!$A93,Input!$C$149:$L$150,2,FALSE)),0,HLOOKUP(CFs!$A93,Input!$C$149:$L$150,2,FALSE))</f>
        <v>0</v>
      </c>
      <c r="AB93" s="10">
        <f>IF(ISERROR(HLOOKUP(CFs!$A93,Input!$C$151:$L$154,2,FALSE)),0,HLOOKUP(CFs!$A93,Input!$C$151:$L$154,2,FALSE))</f>
        <v>0</v>
      </c>
      <c r="AC93">
        <f t="shared" si="5"/>
        <v>0</v>
      </c>
      <c r="AD93" s="1" cm="1">
        <f t="array" ref="AD93">FirmaCashflow(Input!$C$165,Input!$C$166,Input!$C$163,Input!$D$163,CFs!A93)</f>
        <v>0</v>
      </c>
      <c r="AE93" s="2">
        <f>D93+G93+J93+Y93+AC93+AD93</f>
        <v>12002495.78403016</v>
      </c>
      <c r="AF93" s="2">
        <f t="shared" si="7"/>
        <v>576726342.90065312</v>
      </c>
    </row>
    <row r="94" spans="1:32" x14ac:dyDescent="0.25">
      <c r="A94">
        <v>92</v>
      </c>
      <c r="B94" s="1">
        <f>Input!$J$78/12</f>
        <v>24002237.685337197</v>
      </c>
      <c r="C94" s="1">
        <f>Input!$J$79/12</f>
        <v>290027.03869782446</v>
      </c>
      <c r="D94" s="2">
        <f>SUM(B94:C94)</f>
        <v>24292264.724035021</v>
      </c>
      <c r="E94" s="1">
        <f>Input!$J$82/12</f>
        <v>-11464697.950275384</v>
      </c>
      <c r="F94" s="1">
        <f>Input!$J$83/12</f>
        <v>-145013.51934891223</v>
      </c>
      <c r="G94" s="2">
        <f>SUM(E94:F94)</f>
        <v>-11609711.469624296</v>
      </c>
      <c r="H94" s="1">
        <f>Input!$J$110/12</f>
        <v>-467429.68248379929</v>
      </c>
      <c r="I94" s="1">
        <f>Input!$J$111/12</f>
        <v>-212627.78789676586</v>
      </c>
      <c r="J94" s="10">
        <f t="shared" si="4"/>
        <v>-680057.47038056515</v>
      </c>
      <c r="K94" s="10">
        <f>IF(ISERROR(HLOOKUP(CFs!A94,Input!$C$115:$L$117,2,FALSE)),0,HLOOKUP(CFs!A94,Input!$C$115:$L$117,2,FALSE))</f>
        <v>0</v>
      </c>
      <c r="L94" s="10">
        <f>IF(ISERROR(HLOOKUP(CFs!A94,Input!$C$115:$L$117,3,FALSE)),0,HLOOKUP(CFs!A94,Input!$C$115:$L$117,3,FALSE))</f>
        <v>0</v>
      </c>
      <c r="M94" s="10">
        <f>IF(ISERROR(HLOOKUP(CFs!$A94,Input!$C$119:$L$120,2,FALSE)),0,HLOOKUP(CFs!$A94,Input!$C$119:$L$120,2,FALSE))</f>
        <v>0</v>
      </c>
      <c r="N94" s="10">
        <f>IF(ISERROR(HLOOKUP(CFs!$A94,Input!$C$123:$L$124,2,FALSE)),0,HLOOKUP(CFs!$A94,Input!$C$123:$L$124,2,FALSE))</f>
        <v>0</v>
      </c>
      <c r="O94" s="10">
        <f>IF(ISERROR(HLOOKUP(CFs!$A94,Input!$C$125:$L$126,2,FALSE)),0,HLOOKUP(CFs!$A94,Input!$C$125:$L$126,2,FALSE))</f>
        <v>0</v>
      </c>
      <c r="P94" s="10">
        <f>IF(ISERROR(HLOOKUP(CFs!$A94,Input!$C$129:$L$130,2,FALSE)),0,HLOOKUP(CFs!$A94,Input!$C$129:$L$130,2,FALSE))</f>
        <v>0</v>
      </c>
      <c r="Q94" s="10">
        <f>IF(ISERROR(HLOOKUP(CFs!$A94,Input!$C$131:$L$132,2,FALSE)),0,HLOOKUP(CFs!$A94,Input!$C$131:$L$132,2,FALSE))</f>
        <v>0</v>
      </c>
      <c r="R94" s="10">
        <f>IF(ISERROR(HLOOKUP(CFs!$A94,Input!$C$135:$L$136,2,FALSE)),0,HLOOKUP(CFs!$A94,Input!$C$135:$L$136,2,FALSE))</f>
        <v>0</v>
      </c>
      <c r="S94" s="10">
        <f>IF(ISERROR(HLOOKUP(CFs!$A94,Input!$C$137:$L$138,2,FALSE)),0,HLOOKUP(CFs!$A94,Input!$C$137:$L$138,2,FALSE))</f>
        <v>0</v>
      </c>
      <c r="T94" s="10">
        <f>IF(ISERROR(HLOOKUP(CFs!$A94,Input!$C$139:$L$140,2,FALSE)),0,HLOOKUP(CFs!$A94,Input!$C$139:$L$140,2,FALSE))</f>
        <v>0</v>
      </c>
      <c r="U94" s="10">
        <f>IF(ISERROR(HLOOKUP(CFs!$A94,Input!$C$141:$L$142,2,FALSE)),0,HLOOKUP(CFs!$A94,Input!$C$141:$L$142,2,FALSE))</f>
        <v>0</v>
      </c>
      <c r="V94" s="10">
        <f>IF(ISERROR(HLOOKUP(CFs!$A94,Input!$C$143:$L$144,2,FALSE)),0,HLOOKUP(CFs!$A94,Input!$C$143:$L$144,2,FALSE))</f>
        <v>0</v>
      </c>
      <c r="W94" s="10">
        <f>IF(ISERROR(HLOOKUP(CFs!$A94,Input!$C$145:$L$146,2,FALSE)),0,HLOOKUP(CFs!$A94,Input!$C$145:$L$146,2,FALSE))</f>
        <v>0</v>
      </c>
      <c r="X94" s="10">
        <f>IF(ISERROR(HLOOKUP(CFs!$A94,Input!$C$147:$L$148,2,FALSE)),0,HLOOKUP(CFs!$A94,Input!$C$147:$L$148,2,FALSE))</f>
        <v>0</v>
      </c>
      <c r="Y94" s="13">
        <f t="shared" si="6"/>
        <v>0</v>
      </c>
      <c r="Z94" s="10">
        <f>IF(ISERROR(HLOOKUP(CFs!$A94,Input!$C$152:$L$153,2,FALSE)),0,HLOOKUP(CFs!$A94,Input!$C$152:$L$153,2,FALSE))</f>
        <v>0</v>
      </c>
      <c r="AA94" s="10">
        <f>IF(ISERROR(HLOOKUP(CFs!$A94,Input!$C$149:$L$150,2,FALSE)),0,HLOOKUP(CFs!$A94,Input!$C$149:$L$150,2,FALSE))</f>
        <v>0</v>
      </c>
      <c r="AB94" s="10">
        <f>IF(ISERROR(HLOOKUP(CFs!$A94,Input!$C$151:$L$154,2,FALSE)),0,HLOOKUP(CFs!$A94,Input!$C$151:$L$154,2,FALSE))</f>
        <v>0</v>
      </c>
      <c r="AC94">
        <f t="shared" si="5"/>
        <v>0</v>
      </c>
      <c r="AD94" s="1" cm="1">
        <f t="array" ref="AD94">FirmaCashflow(Input!$C$165,Input!$C$166,Input!$C$163,Input!$D$163,CFs!A94)</f>
        <v>0</v>
      </c>
      <c r="AE94" s="2">
        <f>D94+G94+J94+Y94+AC94+AD94</f>
        <v>12002495.78403016</v>
      </c>
      <c r="AF94" s="2">
        <f t="shared" si="7"/>
        <v>588728838.68468332</v>
      </c>
    </row>
    <row r="95" spans="1:32" x14ac:dyDescent="0.25">
      <c r="A95">
        <v>93</v>
      </c>
      <c r="B95" s="1">
        <f>Input!$J$78/12</f>
        <v>24002237.685337197</v>
      </c>
      <c r="C95" s="1">
        <f>Input!$J$79/12</f>
        <v>290027.03869782446</v>
      </c>
      <c r="D95" s="2">
        <f>SUM(B95:C95)</f>
        <v>24292264.724035021</v>
      </c>
      <c r="E95" s="1">
        <f>Input!$J$82/12</f>
        <v>-11464697.950275384</v>
      </c>
      <c r="F95" s="1">
        <f>Input!$J$83/12</f>
        <v>-145013.51934891223</v>
      </c>
      <c r="G95" s="2">
        <f>SUM(E95:F95)</f>
        <v>-11609711.469624296</v>
      </c>
      <c r="H95" s="1">
        <f>Input!$J$110/12</f>
        <v>-467429.68248379929</v>
      </c>
      <c r="I95" s="1">
        <f>Input!$J$111/12</f>
        <v>-212627.78789676586</v>
      </c>
      <c r="J95" s="10">
        <f t="shared" si="4"/>
        <v>-680057.47038056515</v>
      </c>
      <c r="K95" s="10">
        <f>IF(ISERROR(HLOOKUP(CFs!A95,Input!$C$115:$L$117,2,FALSE)),0,HLOOKUP(CFs!A95,Input!$C$115:$L$117,2,FALSE))</f>
        <v>0</v>
      </c>
      <c r="L95" s="10">
        <f>IF(ISERROR(HLOOKUP(CFs!A95,Input!$C$115:$L$117,3,FALSE)),0,HLOOKUP(CFs!A95,Input!$C$115:$L$117,3,FALSE))</f>
        <v>0</v>
      </c>
      <c r="M95" s="10">
        <f>IF(ISERROR(HLOOKUP(CFs!$A95,Input!$C$119:$L$120,2,FALSE)),0,HLOOKUP(CFs!$A95,Input!$C$119:$L$120,2,FALSE))</f>
        <v>0</v>
      </c>
      <c r="N95" s="10">
        <f>IF(ISERROR(HLOOKUP(CFs!$A95,Input!$C$123:$L$124,2,FALSE)),0,HLOOKUP(CFs!$A95,Input!$C$123:$L$124,2,FALSE))</f>
        <v>0</v>
      </c>
      <c r="O95" s="10">
        <f>IF(ISERROR(HLOOKUP(CFs!$A95,Input!$C$125:$L$126,2,FALSE)),0,HLOOKUP(CFs!$A95,Input!$C$125:$L$126,2,FALSE))</f>
        <v>0</v>
      </c>
      <c r="P95" s="10">
        <f>IF(ISERROR(HLOOKUP(CFs!$A95,Input!$C$129:$L$130,2,FALSE)),0,HLOOKUP(CFs!$A95,Input!$C$129:$L$130,2,FALSE))</f>
        <v>0</v>
      </c>
      <c r="Q95" s="10">
        <f>IF(ISERROR(HLOOKUP(CFs!$A95,Input!$C$131:$L$132,2,FALSE)),0,HLOOKUP(CFs!$A95,Input!$C$131:$L$132,2,FALSE))</f>
        <v>0</v>
      </c>
      <c r="R95" s="10">
        <f>IF(ISERROR(HLOOKUP(CFs!$A95,Input!$C$135:$L$136,2,FALSE)),0,HLOOKUP(CFs!$A95,Input!$C$135:$L$136,2,FALSE))</f>
        <v>0</v>
      </c>
      <c r="S95" s="10">
        <f>IF(ISERROR(HLOOKUP(CFs!$A95,Input!$C$137:$L$138,2,FALSE)),0,HLOOKUP(CFs!$A95,Input!$C$137:$L$138,2,FALSE))</f>
        <v>0</v>
      </c>
      <c r="T95" s="10">
        <f>IF(ISERROR(HLOOKUP(CFs!$A95,Input!$C$139:$L$140,2,FALSE)),0,HLOOKUP(CFs!$A95,Input!$C$139:$L$140,2,FALSE))</f>
        <v>0</v>
      </c>
      <c r="U95" s="10">
        <f>IF(ISERROR(HLOOKUP(CFs!$A95,Input!$C$141:$L$142,2,FALSE)),0,HLOOKUP(CFs!$A95,Input!$C$141:$L$142,2,FALSE))</f>
        <v>0</v>
      </c>
      <c r="V95" s="10">
        <f>IF(ISERROR(HLOOKUP(CFs!$A95,Input!$C$143:$L$144,2,FALSE)),0,HLOOKUP(CFs!$A95,Input!$C$143:$L$144,2,FALSE))</f>
        <v>0</v>
      </c>
      <c r="W95" s="10">
        <f>IF(ISERROR(HLOOKUP(CFs!$A95,Input!$C$145:$L$146,2,FALSE)),0,HLOOKUP(CFs!$A95,Input!$C$145:$L$146,2,FALSE))</f>
        <v>0</v>
      </c>
      <c r="X95" s="10">
        <f>IF(ISERROR(HLOOKUP(CFs!$A95,Input!$C$147:$L$148,2,FALSE)),0,HLOOKUP(CFs!$A95,Input!$C$147:$L$148,2,FALSE))</f>
        <v>0</v>
      </c>
      <c r="Y95" s="13">
        <f t="shared" si="6"/>
        <v>0</v>
      </c>
      <c r="Z95" s="10">
        <f>IF(ISERROR(HLOOKUP(CFs!$A95,Input!$C$152:$L$153,2,FALSE)),0,HLOOKUP(CFs!$A95,Input!$C$152:$L$153,2,FALSE))</f>
        <v>0</v>
      </c>
      <c r="AA95" s="10">
        <f>IF(ISERROR(HLOOKUP(CFs!$A95,Input!$C$149:$L$150,2,FALSE)),0,HLOOKUP(CFs!$A95,Input!$C$149:$L$150,2,FALSE))</f>
        <v>0</v>
      </c>
      <c r="AB95" s="10">
        <f>IF(ISERROR(HLOOKUP(CFs!$A95,Input!$C$151:$L$154,2,FALSE)),0,HLOOKUP(CFs!$A95,Input!$C$151:$L$154,2,FALSE))</f>
        <v>0</v>
      </c>
      <c r="AC95">
        <f t="shared" si="5"/>
        <v>0</v>
      </c>
      <c r="AD95" s="1" cm="1">
        <f t="array" ref="AD95">FirmaCashflow(Input!$C$165,Input!$C$166,Input!$C$163,Input!$D$163,CFs!A95)</f>
        <v>0</v>
      </c>
      <c r="AE95" s="2">
        <f>D95+G95+J95+Y95+AC95+AD95</f>
        <v>12002495.78403016</v>
      </c>
      <c r="AF95" s="2">
        <f t="shared" si="7"/>
        <v>600731334.46871352</v>
      </c>
    </row>
    <row r="96" spans="1:32" x14ac:dyDescent="0.25">
      <c r="A96">
        <v>94</v>
      </c>
      <c r="B96" s="1">
        <f>Input!$J$78/12</f>
        <v>24002237.685337197</v>
      </c>
      <c r="C96" s="1">
        <f>Input!$J$79/12</f>
        <v>290027.03869782446</v>
      </c>
      <c r="D96" s="2">
        <f>SUM(B96:C96)</f>
        <v>24292264.724035021</v>
      </c>
      <c r="E96" s="1">
        <f>Input!$J$82/12</f>
        <v>-11464697.950275384</v>
      </c>
      <c r="F96" s="1">
        <f>Input!$J$83/12</f>
        <v>-145013.51934891223</v>
      </c>
      <c r="G96" s="2">
        <f>SUM(E96:F96)</f>
        <v>-11609711.469624296</v>
      </c>
      <c r="H96" s="1">
        <f>Input!$J$110/12</f>
        <v>-467429.68248379929</v>
      </c>
      <c r="I96" s="1">
        <f>Input!$J$111/12</f>
        <v>-212627.78789676586</v>
      </c>
      <c r="J96" s="10">
        <f t="shared" si="4"/>
        <v>-680057.47038056515</v>
      </c>
      <c r="K96" s="10">
        <f>IF(ISERROR(HLOOKUP(CFs!A96,Input!$C$115:$L$117,2,FALSE)),0,HLOOKUP(CFs!A96,Input!$C$115:$L$117,2,FALSE))</f>
        <v>0</v>
      </c>
      <c r="L96" s="10">
        <f>IF(ISERROR(HLOOKUP(CFs!A96,Input!$C$115:$L$117,3,FALSE)),0,HLOOKUP(CFs!A96,Input!$C$115:$L$117,3,FALSE))</f>
        <v>0</v>
      </c>
      <c r="M96" s="10">
        <f>IF(ISERROR(HLOOKUP(CFs!$A96,Input!$C$119:$L$120,2,FALSE)),0,HLOOKUP(CFs!$A96,Input!$C$119:$L$120,2,FALSE))</f>
        <v>0</v>
      </c>
      <c r="N96" s="10">
        <f>IF(ISERROR(HLOOKUP(CFs!$A96,Input!$C$123:$L$124,2,FALSE)),0,HLOOKUP(CFs!$A96,Input!$C$123:$L$124,2,FALSE))</f>
        <v>0</v>
      </c>
      <c r="O96" s="10">
        <f>IF(ISERROR(HLOOKUP(CFs!$A96,Input!$C$125:$L$126,2,FALSE)),0,HLOOKUP(CFs!$A96,Input!$C$125:$L$126,2,FALSE))</f>
        <v>0</v>
      </c>
      <c r="P96" s="10">
        <f>IF(ISERROR(HLOOKUP(CFs!$A96,Input!$C$129:$L$130,2,FALSE)),0,HLOOKUP(CFs!$A96,Input!$C$129:$L$130,2,FALSE))</f>
        <v>0</v>
      </c>
      <c r="Q96" s="10">
        <f>IF(ISERROR(HLOOKUP(CFs!$A96,Input!$C$131:$L$132,2,FALSE)),0,HLOOKUP(CFs!$A96,Input!$C$131:$L$132,2,FALSE))</f>
        <v>0</v>
      </c>
      <c r="R96" s="10">
        <f>IF(ISERROR(HLOOKUP(CFs!$A96,Input!$C$135:$L$136,2,FALSE)),0,HLOOKUP(CFs!$A96,Input!$C$135:$L$136,2,FALSE))</f>
        <v>0</v>
      </c>
      <c r="S96" s="10">
        <f>IF(ISERROR(HLOOKUP(CFs!$A96,Input!$C$137:$L$138,2,FALSE)),0,HLOOKUP(CFs!$A96,Input!$C$137:$L$138,2,FALSE))</f>
        <v>0</v>
      </c>
      <c r="T96" s="10">
        <f>IF(ISERROR(HLOOKUP(CFs!$A96,Input!$C$139:$L$140,2,FALSE)),0,HLOOKUP(CFs!$A96,Input!$C$139:$L$140,2,FALSE))</f>
        <v>0</v>
      </c>
      <c r="U96" s="10">
        <f>IF(ISERROR(HLOOKUP(CFs!$A96,Input!$C$141:$L$142,2,FALSE)),0,HLOOKUP(CFs!$A96,Input!$C$141:$L$142,2,FALSE))</f>
        <v>0</v>
      </c>
      <c r="V96" s="10">
        <f>IF(ISERROR(HLOOKUP(CFs!$A96,Input!$C$143:$L$144,2,FALSE)),0,HLOOKUP(CFs!$A96,Input!$C$143:$L$144,2,FALSE))</f>
        <v>0</v>
      </c>
      <c r="W96" s="10">
        <f>IF(ISERROR(HLOOKUP(CFs!$A96,Input!$C$145:$L$146,2,FALSE)),0,HLOOKUP(CFs!$A96,Input!$C$145:$L$146,2,FALSE))</f>
        <v>0</v>
      </c>
      <c r="X96" s="10">
        <f>IF(ISERROR(HLOOKUP(CFs!$A96,Input!$C$147:$L$148,2,FALSE)),0,HLOOKUP(CFs!$A96,Input!$C$147:$L$148,2,FALSE))</f>
        <v>0</v>
      </c>
      <c r="Y96" s="13">
        <f t="shared" si="6"/>
        <v>0</v>
      </c>
      <c r="Z96" s="10">
        <f>IF(ISERROR(HLOOKUP(CFs!$A96,Input!$C$152:$L$153,2,FALSE)),0,HLOOKUP(CFs!$A96,Input!$C$152:$L$153,2,FALSE))</f>
        <v>0</v>
      </c>
      <c r="AA96" s="10">
        <f>IF(ISERROR(HLOOKUP(CFs!$A96,Input!$C$149:$L$150,2,FALSE)),0,HLOOKUP(CFs!$A96,Input!$C$149:$L$150,2,FALSE))</f>
        <v>0</v>
      </c>
      <c r="AB96" s="10">
        <f>IF(ISERROR(HLOOKUP(CFs!$A96,Input!$C$151:$L$154,2,FALSE)),0,HLOOKUP(CFs!$A96,Input!$C$151:$L$154,2,FALSE))</f>
        <v>0</v>
      </c>
      <c r="AC96">
        <f t="shared" si="5"/>
        <v>0</v>
      </c>
      <c r="AD96" s="1" cm="1">
        <f t="array" ref="AD96">FirmaCashflow(Input!$C$165,Input!$C$166,Input!$C$163,Input!$D$163,CFs!A96)</f>
        <v>0</v>
      </c>
      <c r="AE96" s="2">
        <f>D96+G96+J96+Y96+AC96+AD96</f>
        <v>12002495.78403016</v>
      </c>
      <c r="AF96" s="2">
        <f t="shared" si="7"/>
        <v>612733830.25274372</v>
      </c>
    </row>
    <row r="97" spans="1:32" x14ac:dyDescent="0.25">
      <c r="A97">
        <v>95</v>
      </c>
      <c r="B97" s="1">
        <f>Input!$J$78/12</f>
        <v>24002237.685337197</v>
      </c>
      <c r="C97" s="1">
        <f>Input!$J$79/12</f>
        <v>290027.03869782446</v>
      </c>
      <c r="D97" s="2">
        <f>SUM(B97:C97)</f>
        <v>24292264.724035021</v>
      </c>
      <c r="E97" s="1">
        <f>Input!$J$82/12</f>
        <v>-11464697.950275384</v>
      </c>
      <c r="F97" s="1">
        <f>Input!$J$83/12</f>
        <v>-145013.51934891223</v>
      </c>
      <c r="G97" s="2">
        <f>SUM(E97:F97)</f>
        <v>-11609711.469624296</v>
      </c>
      <c r="H97" s="1">
        <f>Input!$J$110/12</f>
        <v>-467429.68248379929</v>
      </c>
      <c r="I97" s="1">
        <f>Input!$J$111/12</f>
        <v>-212627.78789676586</v>
      </c>
      <c r="J97" s="10">
        <f t="shared" si="4"/>
        <v>-680057.47038056515</v>
      </c>
      <c r="K97" s="10">
        <f>IF(ISERROR(HLOOKUP(CFs!A97,Input!$C$115:$L$117,2,FALSE)),0,HLOOKUP(CFs!A97,Input!$C$115:$L$117,2,FALSE))</f>
        <v>0</v>
      </c>
      <c r="L97" s="10">
        <f>IF(ISERROR(HLOOKUP(CFs!A97,Input!$C$115:$L$117,3,FALSE)),0,HLOOKUP(CFs!A97,Input!$C$115:$L$117,3,FALSE))</f>
        <v>0</v>
      </c>
      <c r="M97" s="10">
        <f>IF(ISERROR(HLOOKUP(CFs!$A97,Input!$C$119:$L$120,2,FALSE)),0,HLOOKUP(CFs!$A97,Input!$C$119:$L$120,2,FALSE))</f>
        <v>0</v>
      </c>
      <c r="N97" s="10">
        <f>IF(ISERROR(HLOOKUP(CFs!$A97,Input!$C$123:$L$124,2,FALSE)),0,HLOOKUP(CFs!$A97,Input!$C$123:$L$124,2,FALSE))</f>
        <v>0</v>
      </c>
      <c r="O97" s="10">
        <f>IF(ISERROR(HLOOKUP(CFs!$A97,Input!$C$125:$L$126,2,FALSE)),0,HLOOKUP(CFs!$A97,Input!$C$125:$L$126,2,FALSE))</f>
        <v>0</v>
      </c>
      <c r="P97" s="10">
        <f>IF(ISERROR(HLOOKUP(CFs!$A97,Input!$C$129:$L$130,2,FALSE)),0,HLOOKUP(CFs!$A97,Input!$C$129:$L$130,2,FALSE))</f>
        <v>0</v>
      </c>
      <c r="Q97" s="10">
        <f>IF(ISERROR(HLOOKUP(CFs!$A97,Input!$C$131:$L$132,2,FALSE)),0,HLOOKUP(CFs!$A97,Input!$C$131:$L$132,2,FALSE))</f>
        <v>0</v>
      </c>
      <c r="R97" s="10">
        <f>IF(ISERROR(HLOOKUP(CFs!$A97,Input!$C$135:$L$136,2,FALSE)),0,HLOOKUP(CFs!$A97,Input!$C$135:$L$136,2,FALSE))</f>
        <v>0</v>
      </c>
      <c r="S97" s="10">
        <f>IF(ISERROR(HLOOKUP(CFs!$A97,Input!$C$137:$L$138,2,FALSE)),0,HLOOKUP(CFs!$A97,Input!$C$137:$L$138,2,FALSE))</f>
        <v>0</v>
      </c>
      <c r="T97" s="10">
        <f>IF(ISERROR(HLOOKUP(CFs!$A97,Input!$C$139:$L$140,2,FALSE)),0,HLOOKUP(CFs!$A97,Input!$C$139:$L$140,2,FALSE))</f>
        <v>0</v>
      </c>
      <c r="U97" s="10">
        <f>IF(ISERROR(HLOOKUP(CFs!$A97,Input!$C$141:$L$142,2,FALSE)),0,HLOOKUP(CFs!$A97,Input!$C$141:$L$142,2,FALSE))</f>
        <v>0</v>
      </c>
      <c r="V97" s="10">
        <f>IF(ISERROR(HLOOKUP(CFs!$A97,Input!$C$143:$L$144,2,FALSE)),0,HLOOKUP(CFs!$A97,Input!$C$143:$L$144,2,FALSE))</f>
        <v>0</v>
      </c>
      <c r="W97" s="10">
        <f>IF(ISERROR(HLOOKUP(CFs!$A97,Input!$C$145:$L$146,2,FALSE)),0,HLOOKUP(CFs!$A97,Input!$C$145:$L$146,2,FALSE))</f>
        <v>0</v>
      </c>
      <c r="X97" s="10">
        <f>IF(ISERROR(HLOOKUP(CFs!$A97,Input!$C$147:$L$148,2,FALSE)),0,HLOOKUP(CFs!$A97,Input!$C$147:$L$148,2,FALSE))</f>
        <v>0</v>
      </c>
      <c r="Y97" s="13">
        <f t="shared" si="6"/>
        <v>0</v>
      </c>
      <c r="Z97" s="10">
        <f>IF(ISERROR(HLOOKUP(CFs!$A97,Input!$C$152:$L$153,2,FALSE)),0,HLOOKUP(CFs!$A97,Input!$C$152:$L$153,2,FALSE))</f>
        <v>0</v>
      </c>
      <c r="AA97" s="10">
        <f>IF(ISERROR(HLOOKUP(CFs!$A97,Input!$C$149:$L$150,2,FALSE)),0,HLOOKUP(CFs!$A97,Input!$C$149:$L$150,2,FALSE))</f>
        <v>0</v>
      </c>
      <c r="AB97" s="10">
        <f>IF(ISERROR(HLOOKUP(CFs!$A97,Input!$C$151:$L$154,2,FALSE)),0,HLOOKUP(CFs!$A97,Input!$C$151:$L$154,2,FALSE))</f>
        <v>0</v>
      </c>
      <c r="AC97">
        <f t="shared" si="5"/>
        <v>0</v>
      </c>
      <c r="AD97" s="1" cm="1">
        <f t="array" ref="AD97">FirmaCashflow(Input!$C$165,Input!$C$166,Input!$C$163,Input!$D$163,CFs!A97)</f>
        <v>0</v>
      </c>
      <c r="AE97" s="2">
        <f>D97+G97+J97+Y97+AC97+AD97</f>
        <v>12002495.78403016</v>
      </c>
      <c r="AF97" s="2">
        <f t="shared" si="7"/>
        <v>624736326.03677392</v>
      </c>
    </row>
    <row r="98" spans="1:32" x14ac:dyDescent="0.25">
      <c r="A98">
        <v>96</v>
      </c>
      <c r="B98" s="1">
        <f>Input!$J$78/12</f>
        <v>24002237.685337197</v>
      </c>
      <c r="C98" s="1">
        <f>Input!$J$79/12</f>
        <v>290027.03869782446</v>
      </c>
      <c r="D98" s="2">
        <f>SUM(B98:C98)</f>
        <v>24292264.724035021</v>
      </c>
      <c r="E98" s="1">
        <f>Input!$J$82/12</f>
        <v>-11464697.950275384</v>
      </c>
      <c r="F98" s="1">
        <f>Input!$J$83/12</f>
        <v>-145013.51934891223</v>
      </c>
      <c r="G98" s="2">
        <f>SUM(E98:F98)</f>
        <v>-11609711.469624296</v>
      </c>
      <c r="H98" s="1">
        <f>Input!$J$110/12</f>
        <v>-467429.68248379929</v>
      </c>
      <c r="I98" s="1">
        <f>Input!$J$111/12</f>
        <v>-212627.78789676586</v>
      </c>
      <c r="J98" s="10">
        <f t="shared" si="4"/>
        <v>-680057.47038056515</v>
      </c>
      <c r="K98" s="10">
        <f>IF(ISERROR(HLOOKUP(CFs!A98,Input!$C$115:$L$117,2,FALSE)),0,HLOOKUP(CFs!A98,Input!$C$115:$L$117,2,FALSE))</f>
        <v>0</v>
      </c>
      <c r="L98" s="10">
        <f>IF(ISERROR(HLOOKUP(CFs!A98,Input!$C$115:$L$117,3,FALSE)),0,HLOOKUP(CFs!A98,Input!$C$115:$L$117,3,FALSE))</f>
        <v>0</v>
      </c>
      <c r="M98" s="10">
        <f>IF(ISERROR(HLOOKUP(CFs!$A98,Input!$C$119:$L$120,2,FALSE)),0,HLOOKUP(CFs!$A98,Input!$C$119:$L$120,2,FALSE))</f>
        <v>0</v>
      </c>
      <c r="N98" s="10">
        <f>IF(ISERROR(HLOOKUP(CFs!$A98,Input!$C$123:$L$124,2,FALSE)),0,HLOOKUP(CFs!$A98,Input!$C$123:$L$124,2,FALSE))</f>
        <v>0</v>
      </c>
      <c r="O98" s="10">
        <f>IF(ISERROR(HLOOKUP(CFs!$A98,Input!$C$125:$L$126,2,FALSE)),0,HLOOKUP(CFs!$A98,Input!$C$125:$L$126,2,FALSE))</f>
        <v>0</v>
      </c>
      <c r="P98" s="10">
        <f>IF(ISERROR(HLOOKUP(CFs!$A98,Input!$C$129:$L$130,2,FALSE)),0,HLOOKUP(CFs!$A98,Input!$C$129:$L$130,2,FALSE))</f>
        <v>0</v>
      </c>
      <c r="Q98" s="10">
        <f>IF(ISERROR(HLOOKUP(CFs!$A98,Input!$C$131:$L$132,2,FALSE)),0,HLOOKUP(CFs!$A98,Input!$C$131:$L$132,2,FALSE))</f>
        <v>0</v>
      </c>
      <c r="R98" s="10">
        <f>IF(ISERROR(HLOOKUP(CFs!$A98,Input!$C$135:$L$136,2,FALSE)),0,HLOOKUP(CFs!$A98,Input!$C$135:$L$136,2,FALSE))</f>
        <v>0</v>
      </c>
      <c r="S98" s="10">
        <f>IF(ISERROR(HLOOKUP(CFs!$A98,Input!$C$137:$L$138,2,FALSE)),0,HLOOKUP(CFs!$A98,Input!$C$137:$L$138,2,FALSE))</f>
        <v>0</v>
      </c>
      <c r="T98" s="10">
        <f>IF(ISERROR(HLOOKUP(CFs!$A98,Input!$C$139:$L$140,2,FALSE)),0,HLOOKUP(CFs!$A98,Input!$C$139:$L$140,2,FALSE))</f>
        <v>0</v>
      </c>
      <c r="U98" s="10">
        <f>IF(ISERROR(HLOOKUP(CFs!$A98,Input!$C$141:$L$142,2,FALSE)),0,HLOOKUP(CFs!$A98,Input!$C$141:$L$142,2,FALSE))</f>
        <v>0</v>
      </c>
      <c r="V98" s="10">
        <f>IF(ISERROR(HLOOKUP(CFs!$A98,Input!$C$143:$L$144,2,FALSE)),0,HLOOKUP(CFs!$A98,Input!$C$143:$L$144,2,FALSE))</f>
        <v>0</v>
      </c>
      <c r="W98" s="10">
        <f>IF(ISERROR(HLOOKUP(CFs!$A98,Input!$C$145:$L$146,2,FALSE)),0,HLOOKUP(CFs!$A98,Input!$C$145:$L$146,2,FALSE))</f>
        <v>0</v>
      </c>
      <c r="X98" s="10">
        <f>IF(ISERROR(HLOOKUP(CFs!$A98,Input!$C$147:$L$148,2,FALSE)),0,HLOOKUP(CFs!$A98,Input!$C$147:$L$148,2,FALSE))</f>
        <v>0</v>
      </c>
      <c r="Y98" s="13">
        <f t="shared" si="6"/>
        <v>0</v>
      </c>
      <c r="Z98" s="10">
        <f>IF(ISERROR(HLOOKUP(CFs!$A98,Input!$C$152:$L$153,2,FALSE)),0,HLOOKUP(CFs!$A98,Input!$C$152:$L$153,2,FALSE))</f>
        <v>0</v>
      </c>
      <c r="AA98" s="10">
        <f>IF(ISERROR(HLOOKUP(CFs!$A98,Input!$C$149:$L$150,2,FALSE)),0,HLOOKUP(CFs!$A98,Input!$C$149:$L$150,2,FALSE))</f>
        <v>0</v>
      </c>
      <c r="AB98" s="10">
        <f>IF(ISERROR(HLOOKUP(CFs!$A98,Input!$C$151:$L$154,2,FALSE)),0,HLOOKUP(CFs!$A98,Input!$C$151:$L$154,2,FALSE))</f>
        <v>0</v>
      </c>
      <c r="AC98">
        <f t="shared" si="5"/>
        <v>0</v>
      </c>
      <c r="AD98" s="1" cm="1">
        <f t="array" ref="AD98">FirmaCashflow(Input!$C$165,Input!$C$166,Input!$C$163,Input!$D$163,CFs!A98)</f>
        <v>0</v>
      </c>
      <c r="AE98" s="2">
        <f>D98+G98+J98+Y98+AC98+AD98</f>
        <v>12002495.78403016</v>
      </c>
      <c r="AF98" s="2">
        <f t="shared" si="7"/>
        <v>636738821.82080412</v>
      </c>
    </row>
    <row r="99" spans="1:32" x14ac:dyDescent="0.25">
      <c r="A99">
        <v>97</v>
      </c>
      <c r="B99" s="1">
        <f>Input!$K$78/12</f>
        <v>24482282.439043939</v>
      </c>
      <c r="C99" s="1">
        <f>Input!$K$79/12</f>
        <v>69026.435210082171</v>
      </c>
      <c r="D99" s="2">
        <f>SUM(B99:C99)</f>
        <v>24551308.874254022</v>
      </c>
      <c r="E99" s="1">
        <f>Input!$K$82/12</f>
        <v>-11636668.419529513</v>
      </c>
      <c r="F99" s="1">
        <f>Input!$K$83/12</f>
        <v>-34513.217605041085</v>
      </c>
      <c r="G99" s="2">
        <f>SUM(E99:F99)</f>
        <v>-11671181.637134554</v>
      </c>
      <c r="H99" s="1">
        <f>Input!$K$110/12</f>
        <v>-474441.12772105628</v>
      </c>
      <c r="I99" s="1">
        <f>Input!$K$111/12</f>
        <v>-215817.20471521732</v>
      </c>
      <c r="J99" s="10">
        <f t="shared" si="4"/>
        <v>-690258.33243627357</v>
      </c>
      <c r="K99" s="10">
        <f>IF(ISERROR(HLOOKUP(CFs!A99,Input!$C$115:$L$117,2,FALSE)),0,HLOOKUP(CFs!A99,Input!$C$115:$L$117,2,FALSE))</f>
        <v>-260219.78750351563</v>
      </c>
      <c r="L99" s="10">
        <f>IF(ISERROR(HLOOKUP(CFs!A99,Input!$C$115:$L$117,3,FALSE)),0,HLOOKUP(CFs!A99,Input!$C$115:$L$117,3,FALSE))</f>
        <v>-149260.267723878</v>
      </c>
      <c r="M99" s="10">
        <f>IF(ISERROR(HLOOKUP(CFs!$A99,Input!$C$119:$L$120,2,FALSE)),0,HLOOKUP(CFs!$A99,Input!$C$119:$L$120,2,FALSE))</f>
        <v>0</v>
      </c>
      <c r="N99" s="10">
        <f>IF(ISERROR(HLOOKUP(CFs!$A99,Input!$C$123:$L$124,2,FALSE)),0,HLOOKUP(CFs!$A99,Input!$C$123:$L$124,2,FALSE))</f>
        <v>0</v>
      </c>
      <c r="O99" s="10">
        <f>IF(ISERROR(HLOOKUP(CFs!$A99,Input!$C$125:$L$126,2,FALSE)),0,HLOOKUP(CFs!$A99,Input!$C$125:$L$126,2,FALSE))</f>
        <v>-546721.63197131979</v>
      </c>
      <c r="P99" s="10">
        <f>IF(ISERROR(HLOOKUP(CFs!$A99,Input!$C$129:$L$130,2,FALSE)),0,HLOOKUP(CFs!$A99,Input!$C$129:$L$130,2,FALSE))</f>
        <v>0</v>
      </c>
      <c r="Q99" s="10">
        <f>IF(ISERROR(HLOOKUP(CFs!$A99,Input!$C$131:$L$132,2,FALSE)),0,HLOOKUP(CFs!$A99,Input!$C$131:$L$132,2,FALSE))</f>
        <v>0</v>
      </c>
      <c r="R99" s="10">
        <f>IF(ISERROR(HLOOKUP(CFs!$A99,Input!$C$135:$L$136,2,FALSE)),0,HLOOKUP(CFs!$A99,Input!$C$135:$L$136,2,FALSE))</f>
        <v>0</v>
      </c>
      <c r="S99" s="10">
        <f>IF(ISERROR(HLOOKUP(CFs!$A99,Input!$C$137:$L$138,2,FALSE)),0,HLOOKUP(CFs!$A99,Input!$C$137:$L$138,2,FALSE))</f>
        <v>0</v>
      </c>
      <c r="T99" s="10">
        <f>IF(ISERROR(HLOOKUP(CFs!$A99,Input!$C$139:$L$140,2,FALSE)),0,HLOOKUP(CFs!$A99,Input!$C$139:$L$140,2,FALSE))</f>
        <v>0</v>
      </c>
      <c r="U99" s="10">
        <f>IF(ISERROR(HLOOKUP(CFs!$A99,Input!$C$141:$L$142,2,FALSE)),0,HLOOKUP(CFs!$A99,Input!$C$141:$L$142,2,FALSE))</f>
        <v>0</v>
      </c>
      <c r="V99" s="10">
        <f>IF(ISERROR(HLOOKUP(CFs!$A99,Input!$C$143:$L$144,2,FALSE)),0,HLOOKUP(CFs!$A99,Input!$C$143:$L$144,2,FALSE))</f>
        <v>0</v>
      </c>
      <c r="W99" s="10">
        <f>IF(ISERROR(HLOOKUP(CFs!$A99,Input!$C$145:$L$146,2,FALSE)),0,HLOOKUP(CFs!$A99,Input!$C$145:$L$146,2,FALSE))</f>
        <v>0</v>
      </c>
      <c r="X99" s="10">
        <f>IF(ISERROR(HLOOKUP(CFs!$A99,Input!$C$147:$L$148,2,FALSE)),0,HLOOKUP(CFs!$A99,Input!$C$147:$L$148,2,FALSE))</f>
        <v>0</v>
      </c>
      <c r="Y99" s="13">
        <f t="shared" si="6"/>
        <v>-956201.68719871342</v>
      </c>
      <c r="Z99" s="10">
        <f>IF(ISERROR(HLOOKUP(CFs!$A99,Input!$C$152:$L$153,2,FALSE)),0,HLOOKUP(CFs!$A99,Input!$C$152:$L$153,2,FALSE))</f>
        <v>0</v>
      </c>
      <c r="AA99" s="10">
        <f>IF(ISERROR(HLOOKUP(CFs!$A99,Input!$C$149:$L$150,2,FALSE)),0,HLOOKUP(CFs!$A99,Input!$C$149:$L$150,2,FALSE))</f>
        <v>0</v>
      </c>
      <c r="AB99" s="10">
        <f>IF(ISERROR(HLOOKUP(CFs!$A99,Input!$C$151:$L$154,2,FALSE)),0,HLOOKUP(CFs!$A99,Input!$C$151:$L$154,2,FALSE))</f>
        <v>0</v>
      </c>
      <c r="AC99">
        <f t="shared" si="5"/>
        <v>0</v>
      </c>
      <c r="AD99" s="1" cm="1">
        <f t="array" ref="AD99">FirmaCashflow(Input!$C$165,Input!$C$166,Input!$C$163,Input!$D$163,CFs!A99)</f>
        <v>0</v>
      </c>
      <c r="AE99" s="2">
        <f>D99+G99+J99+Y99+AC99+AD99</f>
        <v>11233667.217484482</v>
      </c>
      <c r="AF99" s="2">
        <f t="shared" si="7"/>
        <v>647972489.03828859</v>
      </c>
    </row>
    <row r="100" spans="1:32" x14ac:dyDescent="0.25">
      <c r="A100">
        <v>98</v>
      </c>
      <c r="B100" s="1">
        <f>Input!$K$78/12</f>
        <v>24482282.439043939</v>
      </c>
      <c r="C100" s="1">
        <f>Input!$K$79/12</f>
        <v>69026.435210082171</v>
      </c>
      <c r="D100" s="2">
        <f>SUM(B100:C100)</f>
        <v>24551308.874254022</v>
      </c>
      <c r="E100" s="1">
        <f>Input!$K$82/12</f>
        <v>-11636668.419529513</v>
      </c>
      <c r="F100" s="1">
        <f>Input!$K$83/12</f>
        <v>-34513.217605041085</v>
      </c>
      <c r="G100" s="2">
        <f>SUM(E100:F100)</f>
        <v>-11671181.637134554</v>
      </c>
      <c r="H100" s="1">
        <f>Input!$K$110/12</f>
        <v>-474441.12772105628</v>
      </c>
      <c r="I100" s="1">
        <f>Input!$K$111/12</f>
        <v>-215817.20471521732</v>
      </c>
      <c r="J100" s="10">
        <f t="shared" si="4"/>
        <v>-690258.33243627357</v>
      </c>
      <c r="K100" s="10">
        <f>IF(ISERROR(HLOOKUP(CFs!A100,Input!$C$115:$L$117,2,FALSE)),0,HLOOKUP(CFs!A100,Input!$C$115:$L$117,2,FALSE))</f>
        <v>0</v>
      </c>
      <c r="L100" s="10">
        <f>IF(ISERROR(HLOOKUP(CFs!A100,Input!$C$115:$L$117,3,FALSE)),0,HLOOKUP(CFs!A100,Input!$C$115:$L$117,3,FALSE))</f>
        <v>0</v>
      </c>
      <c r="M100" s="10">
        <f>IF(ISERROR(HLOOKUP(CFs!$A100,Input!$C$119:$L$120,2,FALSE)),0,HLOOKUP(CFs!$A100,Input!$C$119:$L$120,2,FALSE))</f>
        <v>0</v>
      </c>
      <c r="N100" s="10">
        <f>IF(ISERROR(HLOOKUP(CFs!$A100,Input!$C$123:$L$124,2,FALSE)),0,HLOOKUP(CFs!$A100,Input!$C$123:$L$124,2,FALSE))</f>
        <v>0</v>
      </c>
      <c r="O100" s="10">
        <f>IF(ISERROR(HLOOKUP(CFs!$A100,Input!$C$125:$L$126,2,FALSE)),0,HLOOKUP(CFs!$A100,Input!$C$125:$L$126,2,FALSE))</f>
        <v>0</v>
      </c>
      <c r="P100" s="10">
        <f>IF(ISERROR(HLOOKUP(CFs!$A100,Input!$C$129:$L$130,2,FALSE)),0,HLOOKUP(CFs!$A100,Input!$C$129:$L$130,2,FALSE))</f>
        <v>0</v>
      </c>
      <c r="Q100" s="10">
        <f>IF(ISERROR(HLOOKUP(CFs!$A100,Input!$C$131:$L$132,2,FALSE)),0,HLOOKUP(CFs!$A100,Input!$C$131:$L$132,2,FALSE))</f>
        <v>0</v>
      </c>
      <c r="R100" s="10">
        <f>IF(ISERROR(HLOOKUP(CFs!$A100,Input!$C$135:$L$136,2,FALSE)),0,HLOOKUP(CFs!$A100,Input!$C$135:$L$136,2,FALSE))</f>
        <v>0</v>
      </c>
      <c r="S100" s="10">
        <f>IF(ISERROR(HLOOKUP(CFs!$A100,Input!$C$137:$L$138,2,FALSE)),0,HLOOKUP(CFs!$A100,Input!$C$137:$L$138,2,FALSE))</f>
        <v>0</v>
      </c>
      <c r="T100" s="10">
        <f>IF(ISERROR(HLOOKUP(CFs!$A100,Input!$C$139:$L$140,2,FALSE)),0,HLOOKUP(CFs!$A100,Input!$C$139:$L$140,2,FALSE))</f>
        <v>0</v>
      </c>
      <c r="U100" s="10">
        <f>IF(ISERROR(HLOOKUP(CFs!$A100,Input!$C$141:$L$142,2,FALSE)),0,HLOOKUP(CFs!$A100,Input!$C$141:$L$142,2,FALSE))</f>
        <v>0</v>
      </c>
      <c r="V100" s="10">
        <f>IF(ISERROR(HLOOKUP(CFs!$A100,Input!$C$143:$L$144,2,FALSE)),0,HLOOKUP(CFs!$A100,Input!$C$143:$L$144,2,FALSE))</f>
        <v>0</v>
      </c>
      <c r="W100" s="10">
        <f>IF(ISERROR(HLOOKUP(CFs!$A100,Input!$C$145:$L$146,2,FALSE)),0,HLOOKUP(CFs!$A100,Input!$C$145:$L$146,2,FALSE))</f>
        <v>0</v>
      </c>
      <c r="X100" s="10">
        <f>IF(ISERROR(HLOOKUP(CFs!$A100,Input!$C$147:$L$148,2,FALSE)),0,HLOOKUP(CFs!$A100,Input!$C$147:$L$148,2,FALSE))</f>
        <v>0</v>
      </c>
      <c r="Y100" s="13">
        <f t="shared" si="6"/>
        <v>0</v>
      </c>
      <c r="Z100" s="10">
        <f>IF(ISERROR(HLOOKUP(CFs!$A100,Input!$C$152:$L$153,2,FALSE)),0,HLOOKUP(CFs!$A100,Input!$C$152:$L$153,2,FALSE))</f>
        <v>0</v>
      </c>
      <c r="AA100" s="10">
        <f>IF(ISERROR(HLOOKUP(CFs!$A100,Input!$C$149:$L$150,2,FALSE)),0,HLOOKUP(CFs!$A100,Input!$C$149:$L$150,2,FALSE))</f>
        <v>0</v>
      </c>
      <c r="AB100" s="10">
        <f>IF(ISERROR(HLOOKUP(CFs!$A100,Input!$C$151:$L$154,2,FALSE)),0,HLOOKUP(CFs!$A100,Input!$C$151:$L$154,2,FALSE))</f>
        <v>0</v>
      </c>
      <c r="AC100">
        <f t="shared" si="5"/>
        <v>0</v>
      </c>
      <c r="AD100" s="1" cm="1">
        <f t="array" ref="AD100">FirmaCashflow(Input!$C$165,Input!$C$166,Input!$C$163,Input!$D$163,CFs!A100)</f>
        <v>0</v>
      </c>
      <c r="AE100" s="2">
        <f>D100+G100+J100+Y100+AC100+AD100</f>
        <v>12189868.904683195</v>
      </c>
      <c r="AF100" s="2">
        <f t="shared" si="7"/>
        <v>660162357.94297183</v>
      </c>
    </row>
    <row r="101" spans="1:32" x14ac:dyDescent="0.25">
      <c r="A101">
        <v>99</v>
      </c>
      <c r="B101" s="1">
        <f>Input!$K$78/12</f>
        <v>24482282.439043939</v>
      </c>
      <c r="C101" s="1">
        <f>Input!$K$79/12</f>
        <v>69026.435210082171</v>
      </c>
      <c r="D101" s="2">
        <f>SUM(B101:C101)</f>
        <v>24551308.874254022</v>
      </c>
      <c r="E101" s="1">
        <f>Input!$K$82/12</f>
        <v>-11636668.419529513</v>
      </c>
      <c r="F101" s="1">
        <f>Input!$K$83/12</f>
        <v>-34513.217605041085</v>
      </c>
      <c r="G101" s="2">
        <f>SUM(E101:F101)</f>
        <v>-11671181.637134554</v>
      </c>
      <c r="H101" s="1">
        <f>Input!$K$110/12</f>
        <v>-474441.12772105628</v>
      </c>
      <c r="I101" s="1">
        <f>Input!$K$111/12</f>
        <v>-215817.20471521732</v>
      </c>
      <c r="J101" s="10">
        <f t="shared" si="4"/>
        <v>-690258.33243627357</v>
      </c>
      <c r="K101" s="10">
        <f>IF(ISERROR(HLOOKUP(CFs!A101,Input!$C$115:$L$117,2,FALSE)),0,HLOOKUP(CFs!A101,Input!$C$115:$L$117,2,FALSE))</f>
        <v>0</v>
      </c>
      <c r="L101" s="10">
        <f>IF(ISERROR(HLOOKUP(CFs!A101,Input!$C$115:$L$117,3,FALSE)),0,HLOOKUP(CFs!A101,Input!$C$115:$L$117,3,FALSE))</f>
        <v>0</v>
      </c>
      <c r="M101" s="10">
        <f>IF(ISERROR(HLOOKUP(CFs!$A101,Input!$C$119:$L$120,2,FALSE)),0,HLOOKUP(CFs!$A101,Input!$C$119:$L$120,2,FALSE))</f>
        <v>0</v>
      </c>
      <c r="N101" s="10">
        <f>IF(ISERROR(HLOOKUP(CFs!$A101,Input!$C$123:$L$124,2,FALSE)),0,HLOOKUP(CFs!$A101,Input!$C$123:$L$124,2,FALSE))</f>
        <v>0</v>
      </c>
      <c r="O101" s="10">
        <f>IF(ISERROR(HLOOKUP(CFs!$A101,Input!$C$125:$L$126,2,FALSE)),0,HLOOKUP(CFs!$A101,Input!$C$125:$L$126,2,FALSE))</f>
        <v>0</v>
      </c>
      <c r="P101" s="10">
        <f>IF(ISERROR(HLOOKUP(CFs!$A101,Input!$C$129:$L$130,2,FALSE)),0,HLOOKUP(CFs!$A101,Input!$C$129:$L$130,2,FALSE))</f>
        <v>0</v>
      </c>
      <c r="Q101" s="10">
        <f>IF(ISERROR(HLOOKUP(CFs!$A101,Input!$C$131:$L$132,2,FALSE)),0,HLOOKUP(CFs!$A101,Input!$C$131:$L$132,2,FALSE))</f>
        <v>0</v>
      </c>
      <c r="R101" s="10">
        <f>IF(ISERROR(HLOOKUP(CFs!$A101,Input!$C$135:$L$136,2,FALSE)),0,HLOOKUP(CFs!$A101,Input!$C$135:$L$136,2,FALSE))</f>
        <v>0</v>
      </c>
      <c r="S101" s="10">
        <f>IF(ISERROR(HLOOKUP(CFs!$A101,Input!$C$137:$L$138,2,FALSE)),0,HLOOKUP(CFs!$A101,Input!$C$137:$L$138,2,FALSE))</f>
        <v>0</v>
      </c>
      <c r="T101" s="10">
        <f>IF(ISERROR(HLOOKUP(CFs!$A101,Input!$C$139:$L$140,2,FALSE)),0,HLOOKUP(CFs!$A101,Input!$C$139:$L$140,2,FALSE))</f>
        <v>0</v>
      </c>
      <c r="U101" s="10">
        <f>IF(ISERROR(HLOOKUP(CFs!$A101,Input!$C$141:$L$142,2,FALSE)),0,HLOOKUP(CFs!$A101,Input!$C$141:$L$142,2,FALSE))</f>
        <v>0</v>
      </c>
      <c r="V101" s="10">
        <f>IF(ISERROR(HLOOKUP(CFs!$A101,Input!$C$143:$L$144,2,FALSE)),0,HLOOKUP(CFs!$A101,Input!$C$143:$L$144,2,FALSE))</f>
        <v>0</v>
      </c>
      <c r="W101" s="10">
        <f>IF(ISERROR(HLOOKUP(CFs!$A101,Input!$C$145:$L$146,2,FALSE)),0,HLOOKUP(CFs!$A101,Input!$C$145:$L$146,2,FALSE))</f>
        <v>0</v>
      </c>
      <c r="X101" s="10">
        <f>IF(ISERROR(HLOOKUP(CFs!$A101,Input!$C$147:$L$148,2,FALSE)),0,HLOOKUP(CFs!$A101,Input!$C$147:$L$148,2,FALSE))</f>
        <v>0</v>
      </c>
      <c r="Y101" s="13">
        <f t="shared" si="6"/>
        <v>0</v>
      </c>
      <c r="Z101" s="10">
        <f>IF(ISERROR(HLOOKUP(CFs!$A101,Input!$C$152:$L$153,2,FALSE)),0,HLOOKUP(CFs!$A101,Input!$C$152:$L$153,2,FALSE))</f>
        <v>0</v>
      </c>
      <c r="AA101" s="10">
        <f>IF(ISERROR(HLOOKUP(CFs!$A101,Input!$C$149:$L$150,2,FALSE)),0,HLOOKUP(CFs!$A101,Input!$C$149:$L$150,2,FALSE))</f>
        <v>0</v>
      </c>
      <c r="AB101" s="10">
        <f>IF(ISERROR(HLOOKUP(CFs!$A101,Input!$C$151:$L$154,2,FALSE)),0,HLOOKUP(CFs!$A101,Input!$C$151:$L$154,2,FALSE))</f>
        <v>0</v>
      </c>
      <c r="AC101">
        <f t="shared" si="5"/>
        <v>0</v>
      </c>
      <c r="AD101" s="1" cm="1">
        <f t="array" ref="AD101">FirmaCashflow(Input!$C$165,Input!$C$166,Input!$C$163,Input!$D$163,CFs!A101)</f>
        <v>0</v>
      </c>
      <c r="AE101" s="2">
        <f>D101+G101+J101+Y101+AC101+AD101</f>
        <v>12189868.904683195</v>
      </c>
      <c r="AF101" s="2">
        <f t="shared" si="7"/>
        <v>672352226.84765506</v>
      </c>
    </row>
    <row r="102" spans="1:32" x14ac:dyDescent="0.25">
      <c r="A102">
        <v>100</v>
      </c>
      <c r="B102" s="1">
        <f>Input!$K$78/12</f>
        <v>24482282.439043939</v>
      </c>
      <c r="C102" s="1">
        <f>Input!$K$79/12</f>
        <v>69026.435210082171</v>
      </c>
      <c r="D102" s="2">
        <f>SUM(B102:C102)</f>
        <v>24551308.874254022</v>
      </c>
      <c r="E102" s="1">
        <f>Input!$K$82/12</f>
        <v>-11636668.419529513</v>
      </c>
      <c r="F102" s="1">
        <f>Input!$K$83/12</f>
        <v>-34513.217605041085</v>
      </c>
      <c r="G102" s="2">
        <f>SUM(E102:F102)</f>
        <v>-11671181.637134554</v>
      </c>
      <c r="H102" s="1">
        <f>Input!$K$110/12</f>
        <v>-474441.12772105628</v>
      </c>
      <c r="I102" s="1">
        <f>Input!$K$111/12</f>
        <v>-215817.20471521732</v>
      </c>
      <c r="J102" s="10">
        <f t="shared" si="4"/>
        <v>-690258.33243627357</v>
      </c>
      <c r="K102" s="10">
        <f>IF(ISERROR(HLOOKUP(CFs!A102,Input!$C$115:$L$117,2,FALSE)),0,HLOOKUP(CFs!A102,Input!$C$115:$L$117,2,FALSE))</f>
        <v>0</v>
      </c>
      <c r="L102" s="10">
        <f>IF(ISERROR(HLOOKUP(CFs!A102,Input!$C$115:$L$117,3,FALSE)),0,HLOOKUP(CFs!A102,Input!$C$115:$L$117,3,FALSE))</f>
        <v>0</v>
      </c>
      <c r="M102" s="10">
        <f>IF(ISERROR(HLOOKUP(CFs!$A102,Input!$C$119:$L$120,2,FALSE)),0,HLOOKUP(CFs!$A102,Input!$C$119:$L$120,2,FALSE))</f>
        <v>0</v>
      </c>
      <c r="N102" s="10">
        <f>IF(ISERROR(HLOOKUP(CFs!$A102,Input!$C$123:$L$124,2,FALSE)),0,HLOOKUP(CFs!$A102,Input!$C$123:$L$124,2,FALSE))</f>
        <v>0</v>
      </c>
      <c r="O102" s="10">
        <f>IF(ISERROR(HLOOKUP(CFs!$A102,Input!$C$125:$L$126,2,FALSE)),0,HLOOKUP(CFs!$A102,Input!$C$125:$L$126,2,FALSE))</f>
        <v>0</v>
      </c>
      <c r="P102" s="10">
        <f>IF(ISERROR(HLOOKUP(CFs!$A102,Input!$C$129:$L$130,2,FALSE)),0,HLOOKUP(CFs!$A102,Input!$C$129:$L$130,2,FALSE))</f>
        <v>0</v>
      </c>
      <c r="Q102" s="10">
        <f>IF(ISERROR(HLOOKUP(CFs!$A102,Input!$C$131:$L$132,2,FALSE)),0,HLOOKUP(CFs!$A102,Input!$C$131:$L$132,2,FALSE))</f>
        <v>0</v>
      </c>
      <c r="R102" s="10">
        <f>IF(ISERROR(HLOOKUP(CFs!$A102,Input!$C$135:$L$136,2,FALSE)),0,HLOOKUP(CFs!$A102,Input!$C$135:$L$136,2,FALSE))</f>
        <v>0</v>
      </c>
      <c r="S102" s="10">
        <f>IF(ISERROR(HLOOKUP(CFs!$A102,Input!$C$137:$L$138,2,FALSE)),0,HLOOKUP(CFs!$A102,Input!$C$137:$L$138,2,FALSE))</f>
        <v>0</v>
      </c>
      <c r="T102" s="10">
        <f>IF(ISERROR(HLOOKUP(CFs!$A102,Input!$C$139:$L$140,2,FALSE)),0,HLOOKUP(CFs!$A102,Input!$C$139:$L$140,2,FALSE))</f>
        <v>0</v>
      </c>
      <c r="U102" s="10">
        <f>IF(ISERROR(HLOOKUP(CFs!$A102,Input!$C$141:$L$142,2,FALSE)),0,HLOOKUP(CFs!$A102,Input!$C$141:$L$142,2,FALSE))</f>
        <v>0</v>
      </c>
      <c r="V102" s="10">
        <f>IF(ISERROR(HLOOKUP(CFs!$A102,Input!$C$143:$L$144,2,FALSE)),0,HLOOKUP(CFs!$A102,Input!$C$143:$L$144,2,FALSE))</f>
        <v>0</v>
      </c>
      <c r="W102" s="10">
        <f>IF(ISERROR(HLOOKUP(CFs!$A102,Input!$C$145:$L$146,2,FALSE)),0,HLOOKUP(CFs!$A102,Input!$C$145:$L$146,2,FALSE))</f>
        <v>0</v>
      </c>
      <c r="X102" s="10">
        <f>IF(ISERROR(HLOOKUP(CFs!$A102,Input!$C$147:$L$148,2,FALSE)),0,HLOOKUP(CFs!$A102,Input!$C$147:$L$148,2,FALSE))</f>
        <v>0</v>
      </c>
      <c r="Y102" s="13">
        <f t="shared" si="6"/>
        <v>0</v>
      </c>
      <c r="Z102" s="10">
        <f>IF(ISERROR(HLOOKUP(CFs!$A102,Input!$C$152:$L$153,2,FALSE)),0,HLOOKUP(CFs!$A102,Input!$C$152:$L$153,2,FALSE))</f>
        <v>0</v>
      </c>
      <c r="AA102" s="10">
        <f>IF(ISERROR(HLOOKUP(CFs!$A102,Input!$C$149:$L$150,2,FALSE)),0,HLOOKUP(CFs!$A102,Input!$C$149:$L$150,2,FALSE))</f>
        <v>0</v>
      </c>
      <c r="AB102" s="10">
        <f>IF(ISERROR(HLOOKUP(CFs!$A102,Input!$C$151:$L$154,2,FALSE)),0,HLOOKUP(CFs!$A102,Input!$C$151:$L$154,2,FALSE))</f>
        <v>0</v>
      </c>
      <c r="AC102">
        <f t="shared" si="5"/>
        <v>0</v>
      </c>
      <c r="AD102" s="1" cm="1">
        <f t="array" ref="AD102">FirmaCashflow(Input!$C$165,Input!$C$166,Input!$C$163,Input!$D$163,CFs!A102)</f>
        <v>0</v>
      </c>
      <c r="AE102" s="2">
        <f>D102+G102+J102+Y102+AC102+AD102</f>
        <v>12189868.904683195</v>
      </c>
      <c r="AF102" s="2">
        <f t="shared" si="7"/>
        <v>684542095.75233829</v>
      </c>
    </row>
    <row r="103" spans="1:32" x14ac:dyDescent="0.25">
      <c r="A103">
        <v>101</v>
      </c>
      <c r="B103" s="1">
        <f>Input!$K$78/12</f>
        <v>24482282.439043939</v>
      </c>
      <c r="C103" s="1">
        <f>Input!$K$79/12</f>
        <v>69026.435210082171</v>
      </c>
      <c r="D103" s="2">
        <f>SUM(B103:C103)</f>
        <v>24551308.874254022</v>
      </c>
      <c r="E103" s="1">
        <f>Input!$K$82/12</f>
        <v>-11636668.419529513</v>
      </c>
      <c r="F103" s="1">
        <f>Input!$K$83/12</f>
        <v>-34513.217605041085</v>
      </c>
      <c r="G103" s="2">
        <f>SUM(E103:F103)</f>
        <v>-11671181.637134554</v>
      </c>
      <c r="H103" s="1">
        <f>Input!$K$110/12</f>
        <v>-474441.12772105628</v>
      </c>
      <c r="I103" s="1">
        <f>Input!$K$111/12</f>
        <v>-215817.20471521732</v>
      </c>
      <c r="J103" s="10">
        <f t="shared" si="4"/>
        <v>-690258.33243627357</v>
      </c>
      <c r="K103" s="10">
        <f>IF(ISERROR(HLOOKUP(CFs!A103,Input!$C$115:$L$117,2,FALSE)),0,HLOOKUP(CFs!A103,Input!$C$115:$L$117,2,FALSE))</f>
        <v>0</v>
      </c>
      <c r="L103" s="10">
        <f>IF(ISERROR(HLOOKUP(CFs!A103,Input!$C$115:$L$117,3,FALSE)),0,HLOOKUP(CFs!A103,Input!$C$115:$L$117,3,FALSE))</f>
        <v>0</v>
      </c>
      <c r="M103" s="10">
        <f>IF(ISERROR(HLOOKUP(CFs!$A103,Input!$C$119:$L$120,2,FALSE)),0,HLOOKUP(CFs!$A103,Input!$C$119:$L$120,2,FALSE))</f>
        <v>0</v>
      </c>
      <c r="N103" s="10">
        <f>IF(ISERROR(HLOOKUP(CFs!$A103,Input!$C$123:$L$124,2,FALSE)),0,HLOOKUP(CFs!$A103,Input!$C$123:$L$124,2,FALSE))</f>
        <v>0</v>
      </c>
      <c r="O103" s="10">
        <f>IF(ISERROR(HLOOKUP(CFs!$A103,Input!$C$125:$L$126,2,FALSE)),0,HLOOKUP(CFs!$A103,Input!$C$125:$L$126,2,FALSE))</f>
        <v>0</v>
      </c>
      <c r="P103" s="10">
        <f>IF(ISERROR(HLOOKUP(CFs!$A103,Input!$C$129:$L$130,2,FALSE)),0,HLOOKUP(CFs!$A103,Input!$C$129:$L$130,2,FALSE))</f>
        <v>0</v>
      </c>
      <c r="Q103" s="10">
        <f>IF(ISERROR(HLOOKUP(CFs!$A103,Input!$C$131:$L$132,2,FALSE)),0,HLOOKUP(CFs!$A103,Input!$C$131:$L$132,2,FALSE))</f>
        <v>0</v>
      </c>
      <c r="R103" s="10">
        <f>IF(ISERROR(HLOOKUP(CFs!$A103,Input!$C$135:$L$136,2,FALSE)),0,HLOOKUP(CFs!$A103,Input!$C$135:$L$136,2,FALSE))</f>
        <v>0</v>
      </c>
      <c r="S103" s="10">
        <f>IF(ISERROR(HLOOKUP(CFs!$A103,Input!$C$137:$L$138,2,FALSE)),0,HLOOKUP(CFs!$A103,Input!$C$137:$L$138,2,FALSE))</f>
        <v>0</v>
      </c>
      <c r="T103" s="10">
        <f>IF(ISERROR(HLOOKUP(CFs!$A103,Input!$C$139:$L$140,2,FALSE)),0,HLOOKUP(CFs!$A103,Input!$C$139:$L$140,2,FALSE))</f>
        <v>0</v>
      </c>
      <c r="U103" s="10">
        <f>IF(ISERROR(HLOOKUP(CFs!$A103,Input!$C$141:$L$142,2,FALSE)),0,HLOOKUP(CFs!$A103,Input!$C$141:$L$142,2,FALSE))</f>
        <v>0</v>
      </c>
      <c r="V103" s="10">
        <f>IF(ISERROR(HLOOKUP(CFs!$A103,Input!$C$143:$L$144,2,FALSE)),0,HLOOKUP(CFs!$A103,Input!$C$143:$L$144,2,FALSE))</f>
        <v>0</v>
      </c>
      <c r="W103" s="10">
        <f>IF(ISERROR(HLOOKUP(CFs!$A103,Input!$C$145:$L$146,2,FALSE)),0,HLOOKUP(CFs!$A103,Input!$C$145:$L$146,2,FALSE))</f>
        <v>0</v>
      </c>
      <c r="X103" s="10">
        <f>IF(ISERROR(HLOOKUP(CFs!$A103,Input!$C$147:$L$148,2,FALSE)),0,HLOOKUP(CFs!$A103,Input!$C$147:$L$148,2,FALSE))</f>
        <v>0</v>
      </c>
      <c r="Y103" s="13">
        <f t="shared" si="6"/>
        <v>0</v>
      </c>
      <c r="Z103" s="10">
        <f>IF(ISERROR(HLOOKUP(CFs!$A103,Input!$C$152:$L$153,2,FALSE)),0,HLOOKUP(CFs!$A103,Input!$C$152:$L$153,2,FALSE))</f>
        <v>0</v>
      </c>
      <c r="AA103" s="10">
        <f>IF(ISERROR(HLOOKUP(CFs!$A103,Input!$C$149:$L$150,2,FALSE)),0,HLOOKUP(CFs!$A103,Input!$C$149:$L$150,2,FALSE))</f>
        <v>0</v>
      </c>
      <c r="AB103" s="10">
        <f>IF(ISERROR(HLOOKUP(CFs!$A103,Input!$C$151:$L$154,2,FALSE)),0,HLOOKUP(CFs!$A103,Input!$C$151:$L$154,2,FALSE))</f>
        <v>0</v>
      </c>
      <c r="AC103">
        <f t="shared" si="5"/>
        <v>0</v>
      </c>
      <c r="AD103" s="1" cm="1">
        <f t="array" ref="AD103">FirmaCashflow(Input!$C$165,Input!$C$166,Input!$C$163,Input!$D$163,CFs!A103)</f>
        <v>0</v>
      </c>
      <c r="AE103" s="2">
        <f>D103+G103+J103+Y103+AC103+AD103</f>
        <v>12189868.904683195</v>
      </c>
      <c r="AF103" s="2">
        <f t="shared" si="7"/>
        <v>696731964.65702152</v>
      </c>
    </row>
    <row r="104" spans="1:32" x14ac:dyDescent="0.25">
      <c r="A104">
        <v>102</v>
      </c>
      <c r="B104" s="1">
        <f>Input!$K$78/12</f>
        <v>24482282.439043939</v>
      </c>
      <c r="C104" s="1">
        <f>Input!$K$79/12</f>
        <v>69026.435210082171</v>
      </c>
      <c r="D104" s="2">
        <f>SUM(B104:C104)</f>
        <v>24551308.874254022</v>
      </c>
      <c r="E104" s="1">
        <f>Input!$K$82/12</f>
        <v>-11636668.419529513</v>
      </c>
      <c r="F104" s="1">
        <f>Input!$K$83/12</f>
        <v>-34513.217605041085</v>
      </c>
      <c r="G104" s="2">
        <f>SUM(E104:F104)</f>
        <v>-11671181.637134554</v>
      </c>
      <c r="H104" s="1">
        <f>Input!$K$110/12</f>
        <v>-474441.12772105628</v>
      </c>
      <c r="I104" s="1">
        <f>Input!$K$111/12</f>
        <v>-215817.20471521732</v>
      </c>
      <c r="J104" s="10">
        <f t="shared" si="4"/>
        <v>-690258.33243627357</v>
      </c>
      <c r="K104" s="10">
        <f>IF(ISERROR(HLOOKUP(CFs!A104,Input!$C$115:$L$117,2,FALSE)),0,HLOOKUP(CFs!A104,Input!$C$115:$L$117,2,FALSE))</f>
        <v>0</v>
      </c>
      <c r="L104" s="10">
        <f>IF(ISERROR(HLOOKUP(CFs!A104,Input!$C$115:$L$117,3,FALSE)),0,HLOOKUP(CFs!A104,Input!$C$115:$L$117,3,FALSE))</f>
        <v>0</v>
      </c>
      <c r="M104" s="10">
        <f>IF(ISERROR(HLOOKUP(CFs!$A104,Input!$C$119:$L$120,2,FALSE)),0,HLOOKUP(CFs!$A104,Input!$C$119:$L$120,2,FALSE))</f>
        <v>-656065.95836558379</v>
      </c>
      <c r="N104" s="10">
        <f>IF(ISERROR(HLOOKUP(CFs!$A104,Input!$C$123:$L$124,2,FALSE)),0,HLOOKUP(CFs!$A104,Input!$C$123:$L$124,2,FALSE))</f>
        <v>0</v>
      </c>
      <c r="O104" s="10">
        <f>IF(ISERROR(HLOOKUP(CFs!$A104,Input!$C$125:$L$126,2,FALSE)),0,HLOOKUP(CFs!$A104,Input!$C$125:$L$126,2,FALSE))</f>
        <v>0</v>
      </c>
      <c r="P104" s="10">
        <f>IF(ISERROR(HLOOKUP(CFs!$A104,Input!$C$129:$L$130,2,FALSE)),0,HLOOKUP(CFs!$A104,Input!$C$129:$L$130,2,FALSE))</f>
        <v>0</v>
      </c>
      <c r="Q104" s="10">
        <f>IF(ISERROR(HLOOKUP(CFs!$A104,Input!$C$131:$L$132,2,FALSE)),0,HLOOKUP(CFs!$A104,Input!$C$131:$L$132,2,FALSE))</f>
        <v>0</v>
      </c>
      <c r="R104" s="10">
        <f>IF(ISERROR(HLOOKUP(CFs!$A104,Input!$C$135:$L$136,2,FALSE)),0,HLOOKUP(CFs!$A104,Input!$C$135:$L$136,2,FALSE))</f>
        <v>0</v>
      </c>
      <c r="S104" s="10">
        <f>IF(ISERROR(HLOOKUP(CFs!$A104,Input!$C$137:$L$138,2,FALSE)),0,HLOOKUP(CFs!$A104,Input!$C$137:$L$138,2,FALSE))</f>
        <v>0</v>
      </c>
      <c r="T104" s="10">
        <f>IF(ISERROR(HLOOKUP(CFs!$A104,Input!$C$139:$L$140,2,FALSE)),0,HLOOKUP(CFs!$A104,Input!$C$139:$L$140,2,FALSE))</f>
        <v>0</v>
      </c>
      <c r="U104" s="10">
        <f>IF(ISERROR(HLOOKUP(CFs!$A104,Input!$C$141:$L$142,2,FALSE)),0,HLOOKUP(CFs!$A104,Input!$C$141:$L$142,2,FALSE))</f>
        <v>0</v>
      </c>
      <c r="V104" s="10">
        <f>IF(ISERROR(HLOOKUP(CFs!$A104,Input!$C$143:$L$144,2,FALSE)),0,HLOOKUP(CFs!$A104,Input!$C$143:$L$144,2,FALSE))</f>
        <v>0</v>
      </c>
      <c r="W104" s="10">
        <f>IF(ISERROR(HLOOKUP(CFs!$A104,Input!$C$145:$L$146,2,FALSE)),0,HLOOKUP(CFs!$A104,Input!$C$145:$L$146,2,FALSE))</f>
        <v>0</v>
      </c>
      <c r="X104" s="10">
        <f>IF(ISERROR(HLOOKUP(CFs!$A104,Input!$C$147:$L$148,2,FALSE)),0,HLOOKUP(CFs!$A104,Input!$C$147:$L$148,2,FALSE))</f>
        <v>0</v>
      </c>
      <c r="Y104" s="13">
        <f t="shared" si="6"/>
        <v>-656065.95836558379</v>
      </c>
      <c r="Z104" s="10">
        <f>IF(ISERROR(HLOOKUP(CFs!$A104,Input!$C$152:$L$153,2,FALSE)),0,HLOOKUP(CFs!$A104,Input!$C$152:$L$153,2,FALSE))</f>
        <v>0</v>
      </c>
      <c r="AA104" s="10">
        <f>IF(ISERROR(HLOOKUP(CFs!$A104,Input!$C$149:$L$150,2,FALSE)),0,HLOOKUP(CFs!$A104,Input!$C$149:$L$150,2,FALSE))</f>
        <v>0</v>
      </c>
      <c r="AB104" s="10">
        <f>IF(ISERROR(HLOOKUP(CFs!$A104,Input!$C$151:$L$154,2,FALSE)),0,HLOOKUP(CFs!$A104,Input!$C$151:$L$154,2,FALSE))</f>
        <v>0</v>
      </c>
      <c r="AC104">
        <f t="shared" si="5"/>
        <v>0</v>
      </c>
      <c r="AD104" s="1" cm="1">
        <f t="array" ref="AD104">FirmaCashflow(Input!$C$165,Input!$C$166,Input!$C$163,Input!$D$163,CFs!A104)</f>
        <v>0</v>
      </c>
      <c r="AE104" s="2">
        <f>D104+G104+J104+Y104+AC104+AD104</f>
        <v>11533802.946317611</v>
      </c>
      <c r="AF104" s="2">
        <f t="shared" si="7"/>
        <v>708265767.60333908</v>
      </c>
    </row>
    <row r="105" spans="1:32" x14ac:dyDescent="0.25">
      <c r="A105">
        <v>103</v>
      </c>
      <c r="B105" s="1">
        <f>Input!$K$78/12</f>
        <v>24482282.439043939</v>
      </c>
      <c r="C105" s="1">
        <f>Input!$K$79/12</f>
        <v>69026.435210082171</v>
      </c>
      <c r="D105" s="2">
        <f>SUM(B105:C105)</f>
        <v>24551308.874254022</v>
      </c>
      <c r="E105" s="1">
        <f>Input!$K$82/12</f>
        <v>-11636668.419529513</v>
      </c>
      <c r="F105" s="1">
        <f>Input!$K$83/12</f>
        <v>-34513.217605041085</v>
      </c>
      <c r="G105" s="2">
        <f>SUM(E105:F105)</f>
        <v>-11671181.637134554</v>
      </c>
      <c r="H105" s="1">
        <f>Input!$K$110/12</f>
        <v>-474441.12772105628</v>
      </c>
      <c r="I105" s="1">
        <f>Input!$K$111/12</f>
        <v>-215817.20471521732</v>
      </c>
      <c r="J105" s="10">
        <f t="shared" si="4"/>
        <v>-690258.33243627357</v>
      </c>
      <c r="K105" s="10">
        <f>IF(ISERROR(HLOOKUP(CFs!A105,Input!$C$115:$L$117,2,FALSE)),0,HLOOKUP(CFs!A105,Input!$C$115:$L$117,2,FALSE))</f>
        <v>0</v>
      </c>
      <c r="L105" s="10">
        <f>IF(ISERROR(HLOOKUP(CFs!A105,Input!$C$115:$L$117,3,FALSE)),0,HLOOKUP(CFs!A105,Input!$C$115:$L$117,3,FALSE))</f>
        <v>0</v>
      </c>
      <c r="M105" s="10">
        <f>IF(ISERROR(HLOOKUP(CFs!$A105,Input!$C$119:$L$120,2,FALSE)),0,HLOOKUP(CFs!$A105,Input!$C$119:$L$120,2,FALSE))</f>
        <v>0</v>
      </c>
      <c r="N105" s="10">
        <f>IF(ISERROR(HLOOKUP(CFs!$A105,Input!$C$123:$L$124,2,FALSE)),0,HLOOKUP(CFs!$A105,Input!$C$123:$L$124,2,FALSE))</f>
        <v>0</v>
      </c>
      <c r="O105" s="10">
        <f>IF(ISERROR(HLOOKUP(CFs!$A105,Input!$C$125:$L$126,2,FALSE)),0,HLOOKUP(CFs!$A105,Input!$C$125:$L$126,2,FALSE))</f>
        <v>0</v>
      </c>
      <c r="P105" s="10">
        <f>IF(ISERROR(HLOOKUP(CFs!$A105,Input!$C$129:$L$130,2,FALSE)),0,HLOOKUP(CFs!$A105,Input!$C$129:$L$130,2,FALSE))</f>
        <v>0</v>
      </c>
      <c r="Q105" s="10">
        <f>IF(ISERROR(HLOOKUP(CFs!$A105,Input!$C$131:$L$132,2,FALSE)),0,HLOOKUP(CFs!$A105,Input!$C$131:$L$132,2,FALSE))</f>
        <v>0</v>
      </c>
      <c r="R105" s="10">
        <f>IF(ISERROR(HLOOKUP(CFs!$A105,Input!$C$135:$L$136,2,FALSE)),0,HLOOKUP(CFs!$A105,Input!$C$135:$L$136,2,FALSE))</f>
        <v>0</v>
      </c>
      <c r="S105" s="10">
        <f>IF(ISERROR(HLOOKUP(CFs!$A105,Input!$C$137:$L$138,2,FALSE)),0,HLOOKUP(CFs!$A105,Input!$C$137:$L$138,2,FALSE))</f>
        <v>0</v>
      </c>
      <c r="T105" s="10">
        <f>IF(ISERROR(HLOOKUP(CFs!$A105,Input!$C$139:$L$140,2,FALSE)),0,HLOOKUP(CFs!$A105,Input!$C$139:$L$140,2,FALSE))</f>
        <v>0</v>
      </c>
      <c r="U105" s="10">
        <f>IF(ISERROR(HLOOKUP(CFs!$A105,Input!$C$141:$L$142,2,FALSE)),0,HLOOKUP(CFs!$A105,Input!$C$141:$L$142,2,FALSE))</f>
        <v>0</v>
      </c>
      <c r="V105" s="10">
        <f>IF(ISERROR(HLOOKUP(CFs!$A105,Input!$C$143:$L$144,2,FALSE)),0,HLOOKUP(CFs!$A105,Input!$C$143:$L$144,2,FALSE))</f>
        <v>0</v>
      </c>
      <c r="W105" s="10">
        <f>IF(ISERROR(HLOOKUP(CFs!$A105,Input!$C$145:$L$146,2,FALSE)),0,HLOOKUP(CFs!$A105,Input!$C$145:$L$146,2,FALSE))</f>
        <v>0</v>
      </c>
      <c r="X105" s="10">
        <f>IF(ISERROR(HLOOKUP(CFs!$A105,Input!$C$147:$L$148,2,FALSE)),0,HLOOKUP(CFs!$A105,Input!$C$147:$L$148,2,FALSE))</f>
        <v>0</v>
      </c>
      <c r="Y105" s="13">
        <f t="shared" si="6"/>
        <v>0</v>
      </c>
      <c r="Z105" s="10">
        <f>IF(ISERROR(HLOOKUP(CFs!$A105,Input!$C$152:$L$153,2,FALSE)),0,HLOOKUP(CFs!$A105,Input!$C$152:$L$153,2,FALSE))</f>
        <v>0</v>
      </c>
      <c r="AA105" s="10">
        <f>IF(ISERROR(HLOOKUP(CFs!$A105,Input!$C$149:$L$150,2,FALSE)),0,HLOOKUP(CFs!$A105,Input!$C$149:$L$150,2,FALSE))</f>
        <v>0</v>
      </c>
      <c r="AB105" s="10">
        <f>IF(ISERROR(HLOOKUP(CFs!$A105,Input!$C$151:$L$154,2,FALSE)),0,HLOOKUP(CFs!$A105,Input!$C$151:$L$154,2,FALSE))</f>
        <v>0</v>
      </c>
      <c r="AC105">
        <f t="shared" si="5"/>
        <v>0</v>
      </c>
      <c r="AD105" s="1" cm="1">
        <f t="array" ref="AD105">FirmaCashflow(Input!$C$165,Input!$C$166,Input!$C$163,Input!$D$163,CFs!A105)</f>
        <v>0</v>
      </c>
      <c r="AE105" s="2">
        <f>D105+G105+J105+Y105+AC105+AD105</f>
        <v>12189868.904683195</v>
      </c>
      <c r="AF105" s="2">
        <f t="shared" si="7"/>
        <v>720455636.50802231</v>
      </c>
    </row>
    <row r="106" spans="1:32" x14ac:dyDescent="0.25">
      <c r="A106">
        <v>104</v>
      </c>
      <c r="B106" s="1">
        <f>Input!$K$78/12</f>
        <v>24482282.439043939</v>
      </c>
      <c r="C106" s="1">
        <f>Input!$K$79/12</f>
        <v>69026.435210082171</v>
      </c>
      <c r="D106" s="2">
        <f>SUM(B106:C106)</f>
        <v>24551308.874254022</v>
      </c>
      <c r="E106" s="1">
        <f>Input!$K$82/12</f>
        <v>-11636668.419529513</v>
      </c>
      <c r="F106" s="1">
        <f>Input!$K$83/12</f>
        <v>-34513.217605041085</v>
      </c>
      <c r="G106" s="2">
        <f>SUM(E106:F106)</f>
        <v>-11671181.637134554</v>
      </c>
      <c r="H106" s="1">
        <f>Input!$K$110/12</f>
        <v>-474441.12772105628</v>
      </c>
      <c r="I106" s="1">
        <f>Input!$K$111/12</f>
        <v>-215817.20471521732</v>
      </c>
      <c r="J106" s="10">
        <f t="shared" si="4"/>
        <v>-690258.33243627357</v>
      </c>
      <c r="K106" s="10">
        <f>IF(ISERROR(HLOOKUP(CFs!A106,Input!$C$115:$L$117,2,FALSE)),0,HLOOKUP(CFs!A106,Input!$C$115:$L$117,2,FALSE))</f>
        <v>0</v>
      </c>
      <c r="L106" s="10">
        <f>IF(ISERROR(HLOOKUP(CFs!A106,Input!$C$115:$L$117,3,FALSE)),0,HLOOKUP(CFs!A106,Input!$C$115:$L$117,3,FALSE))</f>
        <v>0</v>
      </c>
      <c r="M106" s="10">
        <f>IF(ISERROR(HLOOKUP(CFs!$A106,Input!$C$119:$L$120,2,FALSE)),0,HLOOKUP(CFs!$A106,Input!$C$119:$L$120,2,FALSE))</f>
        <v>0</v>
      </c>
      <c r="N106" s="10">
        <f>IF(ISERROR(HLOOKUP(CFs!$A106,Input!$C$123:$L$124,2,FALSE)),0,HLOOKUP(CFs!$A106,Input!$C$123:$L$124,2,FALSE))</f>
        <v>0</v>
      </c>
      <c r="O106" s="10">
        <f>IF(ISERROR(HLOOKUP(CFs!$A106,Input!$C$125:$L$126,2,FALSE)),0,HLOOKUP(CFs!$A106,Input!$C$125:$L$126,2,FALSE))</f>
        <v>0</v>
      </c>
      <c r="P106" s="10">
        <f>IF(ISERROR(HLOOKUP(CFs!$A106,Input!$C$129:$L$130,2,FALSE)),0,HLOOKUP(CFs!$A106,Input!$C$129:$L$130,2,FALSE))</f>
        <v>0</v>
      </c>
      <c r="Q106" s="10">
        <f>IF(ISERROR(HLOOKUP(CFs!$A106,Input!$C$131:$L$132,2,FALSE)),0,HLOOKUP(CFs!$A106,Input!$C$131:$L$132,2,FALSE))</f>
        <v>0</v>
      </c>
      <c r="R106" s="10">
        <f>IF(ISERROR(HLOOKUP(CFs!$A106,Input!$C$135:$L$136,2,FALSE)),0,HLOOKUP(CFs!$A106,Input!$C$135:$L$136,2,FALSE))</f>
        <v>0</v>
      </c>
      <c r="S106" s="10">
        <f>IF(ISERROR(HLOOKUP(CFs!$A106,Input!$C$137:$L$138,2,FALSE)),0,HLOOKUP(CFs!$A106,Input!$C$137:$L$138,2,FALSE))</f>
        <v>0</v>
      </c>
      <c r="T106" s="10">
        <f>IF(ISERROR(HLOOKUP(CFs!$A106,Input!$C$139:$L$140,2,FALSE)),0,HLOOKUP(CFs!$A106,Input!$C$139:$L$140,2,FALSE))</f>
        <v>0</v>
      </c>
      <c r="U106" s="10">
        <f>IF(ISERROR(HLOOKUP(CFs!$A106,Input!$C$141:$L$142,2,FALSE)),0,HLOOKUP(CFs!$A106,Input!$C$141:$L$142,2,FALSE))</f>
        <v>0</v>
      </c>
      <c r="V106" s="10">
        <f>IF(ISERROR(HLOOKUP(CFs!$A106,Input!$C$143:$L$144,2,FALSE)),0,HLOOKUP(CFs!$A106,Input!$C$143:$L$144,2,FALSE))</f>
        <v>0</v>
      </c>
      <c r="W106" s="10">
        <f>IF(ISERROR(HLOOKUP(CFs!$A106,Input!$C$145:$L$146,2,FALSE)),0,HLOOKUP(CFs!$A106,Input!$C$145:$L$146,2,FALSE))</f>
        <v>0</v>
      </c>
      <c r="X106" s="10">
        <f>IF(ISERROR(HLOOKUP(CFs!$A106,Input!$C$147:$L$148,2,FALSE)),0,HLOOKUP(CFs!$A106,Input!$C$147:$L$148,2,FALSE))</f>
        <v>0</v>
      </c>
      <c r="Y106" s="13">
        <f t="shared" si="6"/>
        <v>0</v>
      </c>
      <c r="Z106" s="10">
        <f>IF(ISERROR(HLOOKUP(CFs!$A106,Input!$C$152:$L$153,2,FALSE)),0,HLOOKUP(CFs!$A106,Input!$C$152:$L$153,2,FALSE))</f>
        <v>0</v>
      </c>
      <c r="AA106" s="10">
        <f>IF(ISERROR(HLOOKUP(CFs!$A106,Input!$C$149:$L$150,2,FALSE)),0,HLOOKUP(CFs!$A106,Input!$C$149:$L$150,2,FALSE))</f>
        <v>0</v>
      </c>
      <c r="AB106" s="10">
        <f>IF(ISERROR(HLOOKUP(CFs!$A106,Input!$C$151:$L$154,2,FALSE)),0,HLOOKUP(CFs!$A106,Input!$C$151:$L$154,2,FALSE))</f>
        <v>0</v>
      </c>
      <c r="AC106">
        <f t="shared" si="5"/>
        <v>0</v>
      </c>
      <c r="AD106" s="1" cm="1">
        <f t="array" ref="AD106">FirmaCashflow(Input!$C$165,Input!$C$166,Input!$C$163,Input!$D$163,CFs!A106)</f>
        <v>0</v>
      </c>
      <c r="AE106" s="2">
        <f>D106+G106+J106+Y106+AC106+AD106</f>
        <v>12189868.904683195</v>
      </c>
      <c r="AF106" s="2">
        <f t="shared" si="7"/>
        <v>732645505.41270554</v>
      </c>
    </row>
    <row r="107" spans="1:32" x14ac:dyDescent="0.25">
      <c r="A107">
        <v>105</v>
      </c>
      <c r="B107" s="1">
        <f>Input!$K$78/12</f>
        <v>24482282.439043939</v>
      </c>
      <c r="C107" s="1">
        <f>Input!$K$79/12</f>
        <v>69026.435210082171</v>
      </c>
      <c r="D107" s="2">
        <f>SUM(B107:C107)</f>
        <v>24551308.874254022</v>
      </c>
      <c r="E107" s="1">
        <f>Input!$K$82/12</f>
        <v>-11636668.419529513</v>
      </c>
      <c r="F107" s="1">
        <f>Input!$K$83/12</f>
        <v>-34513.217605041085</v>
      </c>
      <c r="G107" s="2">
        <f>SUM(E107:F107)</f>
        <v>-11671181.637134554</v>
      </c>
      <c r="H107" s="1">
        <f>Input!$K$110/12</f>
        <v>-474441.12772105628</v>
      </c>
      <c r="I107" s="1">
        <f>Input!$K$111/12</f>
        <v>-215817.20471521732</v>
      </c>
      <c r="J107" s="10">
        <f t="shared" si="4"/>
        <v>-690258.33243627357</v>
      </c>
      <c r="K107" s="10">
        <f>IF(ISERROR(HLOOKUP(CFs!A107,Input!$C$115:$L$117,2,FALSE)),0,HLOOKUP(CFs!A107,Input!$C$115:$L$117,2,FALSE))</f>
        <v>0</v>
      </c>
      <c r="L107" s="10">
        <f>IF(ISERROR(HLOOKUP(CFs!A107,Input!$C$115:$L$117,3,FALSE)),0,HLOOKUP(CFs!A107,Input!$C$115:$L$117,3,FALSE))</f>
        <v>0</v>
      </c>
      <c r="M107" s="10">
        <f>IF(ISERROR(HLOOKUP(CFs!$A107,Input!$C$119:$L$120,2,FALSE)),0,HLOOKUP(CFs!$A107,Input!$C$119:$L$120,2,FALSE))</f>
        <v>0</v>
      </c>
      <c r="N107" s="10">
        <f>IF(ISERROR(HLOOKUP(CFs!$A107,Input!$C$123:$L$124,2,FALSE)),0,HLOOKUP(CFs!$A107,Input!$C$123:$L$124,2,FALSE))</f>
        <v>0</v>
      </c>
      <c r="O107" s="10">
        <f>IF(ISERROR(HLOOKUP(CFs!$A107,Input!$C$125:$L$126,2,FALSE)),0,HLOOKUP(CFs!$A107,Input!$C$125:$L$126,2,FALSE))</f>
        <v>0</v>
      </c>
      <c r="P107" s="10">
        <f>IF(ISERROR(HLOOKUP(CFs!$A107,Input!$C$129:$L$130,2,FALSE)),0,HLOOKUP(CFs!$A107,Input!$C$129:$L$130,2,FALSE))</f>
        <v>0</v>
      </c>
      <c r="Q107" s="10">
        <f>IF(ISERROR(HLOOKUP(CFs!$A107,Input!$C$131:$L$132,2,FALSE)),0,HLOOKUP(CFs!$A107,Input!$C$131:$L$132,2,FALSE))</f>
        <v>0</v>
      </c>
      <c r="R107" s="10">
        <f>IF(ISERROR(HLOOKUP(CFs!$A107,Input!$C$135:$L$136,2,FALSE)),0,HLOOKUP(CFs!$A107,Input!$C$135:$L$136,2,FALSE))</f>
        <v>0</v>
      </c>
      <c r="S107" s="10">
        <f>IF(ISERROR(HLOOKUP(CFs!$A107,Input!$C$137:$L$138,2,FALSE)),0,HLOOKUP(CFs!$A107,Input!$C$137:$L$138,2,FALSE))</f>
        <v>0</v>
      </c>
      <c r="T107" s="10">
        <f>IF(ISERROR(HLOOKUP(CFs!$A107,Input!$C$139:$L$140,2,FALSE)),0,HLOOKUP(CFs!$A107,Input!$C$139:$L$140,2,FALSE))</f>
        <v>0</v>
      </c>
      <c r="U107" s="10">
        <f>IF(ISERROR(HLOOKUP(CFs!$A107,Input!$C$141:$L$142,2,FALSE)),0,HLOOKUP(CFs!$A107,Input!$C$141:$L$142,2,FALSE))</f>
        <v>0</v>
      </c>
      <c r="V107" s="10">
        <f>IF(ISERROR(HLOOKUP(CFs!$A107,Input!$C$143:$L$144,2,FALSE)),0,HLOOKUP(CFs!$A107,Input!$C$143:$L$144,2,FALSE))</f>
        <v>0</v>
      </c>
      <c r="W107" s="10">
        <f>IF(ISERROR(HLOOKUP(CFs!$A107,Input!$C$145:$L$146,2,FALSE)),0,HLOOKUP(CFs!$A107,Input!$C$145:$L$146,2,FALSE))</f>
        <v>0</v>
      </c>
      <c r="X107" s="10">
        <f>IF(ISERROR(HLOOKUP(CFs!$A107,Input!$C$147:$L$148,2,FALSE)),0,HLOOKUP(CFs!$A107,Input!$C$147:$L$148,2,FALSE))</f>
        <v>0</v>
      </c>
      <c r="Y107" s="13">
        <f t="shared" si="6"/>
        <v>0</v>
      </c>
      <c r="Z107" s="10">
        <f>IF(ISERROR(HLOOKUP(CFs!$A107,Input!$C$152:$L$153,2,FALSE)),0,HLOOKUP(CFs!$A107,Input!$C$152:$L$153,2,FALSE))</f>
        <v>0</v>
      </c>
      <c r="AA107" s="10">
        <f>IF(ISERROR(HLOOKUP(CFs!$A107,Input!$C$149:$L$150,2,FALSE)),0,HLOOKUP(CFs!$A107,Input!$C$149:$L$150,2,FALSE))</f>
        <v>0</v>
      </c>
      <c r="AB107" s="10">
        <f>IF(ISERROR(HLOOKUP(CFs!$A107,Input!$C$151:$L$154,2,FALSE)),0,HLOOKUP(CFs!$A107,Input!$C$151:$L$154,2,FALSE))</f>
        <v>0</v>
      </c>
      <c r="AC107">
        <f t="shared" si="5"/>
        <v>0</v>
      </c>
      <c r="AD107" s="1" cm="1">
        <f t="array" ref="AD107">FirmaCashflow(Input!$C$165,Input!$C$166,Input!$C$163,Input!$D$163,CFs!A107)</f>
        <v>0</v>
      </c>
      <c r="AE107" s="2">
        <f>D107+G107+J107+Y107+AC107+AD107</f>
        <v>12189868.904683195</v>
      </c>
      <c r="AF107" s="2">
        <f t="shared" si="7"/>
        <v>744835374.31738877</v>
      </c>
    </row>
    <row r="108" spans="1:32" x14ac:dyDescent="0.25">
      <c r="A108">
        <v>106</v>
      </c>
      <c r="B108" s="1">
        <f>Input!$K$78/12</f>
        <v>24482282.439043939</v>
      </c>
      <c r="C108" s="1">
        <f>Input!$K$79/12</f>
        <v>69026.435210082171</v>
      </c>
      <c r="D108" s="2">
        <f>SUM(B108:C108)</f>
        <v>24551308.874254022</v>
      </c>
      <c r="E108" s="1">
        <f>Input!$K$82/12</f>
        <v>-11636668.419529513</v>
      </c>
      <c r="F108" s="1">
        <f>Input!$K$83/12</f>
        <v>-34513.217605041085</v>
      </c>
      <c r="G108" s="2">
        <f>SUM(E108:F108)</f>
        <v>-11671181.637134554</v>
      </c>
      <c r="H108" s="1">
        <f>Input!$K$110/12</f>
        <v>-474441.12772105628</v>
      </c>
      <c r="I108" s="1">
        <f>Input!$K$111/12</f>
        <v>-215817.20471521732</v>
      </c>
      <c r="J108" s="10">
        <f t="shared" si="4"/>
        <v>-690258.33243627357</v>
      </c>
      <c r="K108" s="10">
        <f>IF(ISERROR(HLOOKUP(CFs!A108,Input!$C$115:$L$117,2,FALSE)),0,HLOOKUP(CFs!A108,Input!$C$115:$L$117,2,FALSE))</f>
        <v>0</v>
      </c>
      <c r="L108" s="10">
        <f>IF(ISERROR(HLOOKUP(CFs!A108,Input!$C$115:$L$117,3,FALSE)),0,HLOOKUP(CFs!A108,Input!$C$115:$L$117,3,FALSE))</f>
        <v>0</v>
      </c>
      <c r="M108" s="10">
        <f>IF(ISERROR(HLOOKUP(CFs!$A108,Input!$C$119:$L$120,2,FALSE)),0,HLOOKUP(CFs!$A108,Input!$C$119:$L$120,2,FALSE))</f>
        <v>0</v>
      </c>
      <c r="N108" s="10">
        <f>IF(ISERROR(HLOOKUP(CFs!$A108,Input!$C$123:$L$124,2,FALSE)),0,HLOOKUP(CFs!$A108,Input!$C$123:$L$124,2,FALSE))</f>
        <v>0</v>
      </c>
      <c r="O108" s="10">
        <f>IF(ISERROR(HLOOKUP(CFs!$A108,Input!$C$125:$L$126,2,FALSE)),0,HLOOKUP(CFs!$A108,Input!$C$125:$L$126,2,FALSE))</f>
        <v>0</v>
      </c>
      <c r="P108" s="10">
        <f>IF(ISERROR(HLOOKUP(CFs!$A108,Input!$C$129:$L$130,2,FALSE)),0,HLOOKUP(CFs!$A108,Input!$C$129:$L$130,2,FALSE))</f>
        <v>0</v>
      </c>
      <c r="Q108" s="10">
        <f>IF(ISERROR(HLOOKUP(CFs!$A108,Input!$C$131:$L$132,2,FALSE)),0,HLOOKUP(CFs!$A108,Input!$C$131:$L$132,2,FALSE))</f>
        <v>0</v>
      </c>
      <c r="R108" s="10">
        <f>IF(ISERROR(HLOOKUP(CFs!$A108,Input!$C$135:$L$136,2,FALSE)),0,HLOOKUP(CFs!$A108,Input!$C$135:$L$136,2,FALSE))</f>
        <v>0</v>
      </c>
      <c r="S108" s="10">
        <f>IF(ISERROR(HLOOKUP(CFs!$A108,Input!$C$137:$L$138,2,FALSE)),0,HLOOKUP(CFs!$A108,Input!$C$137:$L$138,2,FALSE))</f>
        <v>0</v>
      </c>
      <c r="T108" s="10">
        <f>IF(ISERROR(HLOOKUP(CFs!$A108,Input!$C$139:$L$140,2,FALSE)),0,HLOOKUP(CFs!$A108,Input!$C$139:$L$140,2,FALSE))</f>
        <v>0</v>
      </c>
      <c r="U108" s="10">
        <f>IF(ISERROR(HLOOKUP(CFs!$A108,Input!$C$141:$L$142,2,FALSE)),0,HLOOKUP(CFs!$A108,Input!$C$141:$L$142,2,FALSE))</f>
        <v>0</v>
      </c>
      <c r="V108" s="10">
        <f>IF(ISERROR(HLOOKUP(CFs!$A108,Input!$C$143:$L$144,2,FALSE)),0,HLOOKUP(CFs!$A108,Input!$C$143:$L$144,2,FALSE))</f>
        <v>0</v>
      </c>
      <c r="W108" s="10">
        <f>IF(ISERROR(HLOOKUP(CFs!$A108,Input!$C$145:$L$146,2,FALSE)),0,HLOOKUP(CFs!$A108,Input!$C$145:$L$146,2,FALSE))</f>
        <v>0</v>
      </c>
      <c r="X108" s="10">
        <f>IF(ISERROR(HLOOKUP(CFs!$A108,Input!$C$147:$L$148,2,FALSE)),0,HLOOKUP(CFs!$A108,Input!$C$147:$L$148,2,FALSE))</f>
        <v>0</v>
      </c>
      <c r="Y108" s="13">
        <f t="shared" si="6"/>
        <v>0</v>
      </c>
      <c r="Z108" s="10">
        <f>IF(ISERROR(HLOOKUP(CFs!$A108,Input!$C$152:$L$153,2,FALSE)),0,HLOOKUP(CFs!$A108,Input!$C$152:$L$153,2,FALSE))</f>
        <v>0</v>
      </c>
      <c r="AA108" s="10">
        <f>IF(ISERROR(HLOOKUP(CFs!$A108,Input!$C$149:$L$150,2,FALSE)),0,HLOOKUP(CFs!$A108,Input!$C$149:$L$150,2,FALSE))</f>
        <v>0</v>
      </c>
      <c r="AB108" s="10">
        <f>IF(ISERROR(HLOOKUP(CFs!$A108,Input!$C$151:$L$154,2,FALSE)),0,HLOOKUP(CFs!$A108,Input!$C$151:$L$154,2,FALSE))</f>
        <v>0</v>
      </c>
      <c r="AC108">
        <f t="shared" si="5"/>
        <v>0</v>
      </c>
      <c r="AD108" s="1" cm="1">
        <f t="array" ref="AD108">FirmaCashflow(Input!$C$165,Input!$C$166,Input!$C$163,Input!$D$163,CFs!A108)</f>
        <v>0</v>
      </c>
      <c r="AE108" s="2">
        <f>D108+G108+J108+Y108+AC108+AD108</f>
        <v>12189868.904683195</v>
      </c>
      <c r="AF108" s="2">
        <f t="shared" si="7"/>
        <v>757025243.22207201</v>
      </c>
    </row>
    <row r="109" spans="1:32" x14ac:dyDescent="0.25">
      <c r="A109">
        <v>107</v>
      </c>
      <c r="B109" s="1">
        <f>Input!$K$78/12</f>
        <v>24482282.439043939</v>
      </c>
      <c r="C109" s="1">
        <f>Input!$K$79/12</f>
        <v>69026.435210082171</v>
      </c>
      <c r="D109" s="2">
        <f>SUM(B109:C109)</f>
        <v>24551308.874254022</v>
      </c>
      <c r="E109" s="1">
        <f>Input!$K$82/12</f>
        <v>-11636668.419529513</v>
      </c>
      <c r="F109" s="1">
        <f>Input!$K$83/12</f>
        <v>-34513.217605041085</v>
      </c>
      <c r="G109" s="2">
        <f>SUM(E109:F109)</f>
        <v>-11671181.637134554</v>
      </c>
      <c r="H109" s="1">
        <f>Input!$K$110/12</f>
        <v>-474441.12772105628</v>
      </c>
      <c r="I109" s="1">
        <f>Input!$K$111/12</f>
        <v>-215817.20471521732</v>
      </c>
      <c r="J109" s="10">
        <f t="shared" si="4"/>
        <v>-690258.33243627357</v>
      </c>
      <c r="K109" s="10">
        <f>IF(ISERROR(HLOOKUP(CFs!A109,Input!$C$115:$L$117,2,FALSE)),0,HLOOKUP(CFs!A109,Input!$C$115:$L$117,2,FALSE))</f>
        <v>0</v>
      </c>
      <c r="L109" s="10">
        <f>IF(ISERROR(HLOOKUP(CFs!A109,Input!$C$115:$L$117,3,FALSE)),0,HLOOKUP(CFs!A109,Input!$C$115:$L$117,3,FALSE))</f>
        <v>0</v>
      </c>
      <c r="M109" s="10">
        <f>IF(ISERROR(HLOOKUP(CFs!$A109,Input!$C$119:$L$120,2,FALSE)),0,HLOOKUP(CFs!$A109,Input!$C$119:$L$120,2,FALSE))</f>
        <v>0</v>
      </c>
      <c r="N109" s="10">
        <f>IF(ISERROR(HLOOKUP(CFs!$A109,Input!$C$123:$L$124,2,FALSE)),0,HLOOKUP(CFs!$A109,Input!$C$123:$L$124,2,FALSE))</f>
        <v>0</v>
      </c>
      <c r="O109" s="10">
        <f>IF(ISERROR(HLOOKUP(CFs!$A109,Input!$C$125:$L$126,2,FALSE)),0,HLOOKUP(CFs!$A109,Input!$C$125:$L$126,2,FALSE))</f>
        <v>0</v>
      </c>
      <c r="P109" s="10">
        <f>IF(ISERROR(HLOOKUP(CFs!$A109,Input!$C$129:$L$130,2,FALSE)),0,HLOOKUP(CFs!$A109,Input!$C$129:$L$130,2,FALSE))</f>
        <v>0</v>
      </c>
      <c r="Q109" s="10">
        <f>IF(ISERROR(HLOOKUP(CFs!$A109,Input!$C$131:$L$132,2,FALSE)),0,HLOOKUP(CFs!$A109,Input!$C$131:$L$132,2,FALSE))</f>
        <v>0</v>
      </c>
      <c r="R109" s="10">
        <f>IF(ISERROR(HLOOKUP(CFs!$A109,Input!$C$135:$L$136,2,FALSE)),0,HLOOKUP(CFs!$A109,Input!$C$135:$L$136,2,FALSE))</f>
        <v>0</v>
      </c>
      <c r="S109" s="10">
        <f>IF(ISERROR(HLOOKUP(CFs!$A109,Input!$C$137:$L$138,2,FALSE)),0,HLOOKUP(CFs!$A109,Input!$C$137:$L$138,2,FALSE))</f>
        <v>0</v>
      </c>
      <c r="T109" s="10">
        <f>IF(ISERROR(HLOOKUP(CFs!$A109,Input!$C$139:$L$140,2,FALSE)),0,HLOOKUP(CFs!$A109,Input!$C$139:$L$140,2,FALSE))</f>
        <v>0</v>
      </c>
      <c r="U109" s="10">
        <f>IF(ISERROR(HLOOKUP(CFs!$A109,Input!$C$141:$L$142,2,FALSE)),0,HLOOKUP(CFs!$A109,Input!$C$141:$L$142,2,FALSE))</f>
        <v>0</v>
      </c>
      <c r="V109" s="10">
        <f>IF(ISERROR(HLOOKUP(CFs!$A109,Input!$C$143:$L$144,2,FALSE)),0,HLOOKUP(CFs!$A109,Input!$C$143:$L$144,2,FALSE))</f>
        <v>0</v>
      </c>
      <c r="W109" s="10">
        <f>IF(ISERROR(HLOOKUP(CFs!$A109,Input!$C$145:$L$146,2,FALSE)),0,HLOOKUP(CFs!$A109,Input!$C$145:$L$146,2,FALSE))</f>
        <v>0</v>
      </c>
      <c r="X109" s="10">
        <f>IF(ISERROR(HLOOKUP(CFs!$A109,Input!$C$147:$L$148,2,FALSE)),0,HLOOKUP(CFs!$A109,Input!$C$147:$L$148,2,FALSE))</f>
        <v>0</v>
      </c>
      <c r="Y109" s="13">
        <f t="shared" si="6"/>
        <v>0</v>
      </c>
      <c r="Z109" s="10">
        <f>IF(ISERROR(HLOOKUP(CFs!$A109,Input!$C$152:$L$153,2,FALSE)),0,HLOOKUP(CFs!$A109,Input!$C$152:$L$153,2,FALSE))</f>
        <v>0</v>
      </c>
      <c r="AA109" s="10">
        <f>IF(ISERROR(HLOOKUP(CFs!$A109,Input!$C$149:$L$150,2,FALSE)),0,HLOOKUP(CFs!$A109,Input!$C$149:$L$150,2,FALSE))</f>
        <v>0</v>
      </c>
      <c r="AB109" s="10">
        <f>IF(ISERROR(HLOOKUP(CFs!$A109,Input!$C$151:$L$154,2,FALSE)),0,HLOOKUP(CFs!$A109,Input!$C$151:$L$154,2,FALSE))</f>
        <v>0</v>
      </c>
      <c r="AC109">
        <f t="shared" si="5"/>
        <v>0</v>
      </c>
      <c r="AD109" s="1" cm="1">
        <f t="array" ref="AD109">FirmaCashflow(Input!$C$165,Input!$C$166,Input!$C$163,Input!$D$163,CFs!A109)</f>
        <v>0</v>
      </c>
      <c r="AE109" s="2">
        <f>D109+G109+J109+Y109+AC109+AD109</f>
        <v>12189868.904683195</v>
      </c>
      <c r="AF109" s="2">
        <f t="shared" si="7"/>
        <v>769215112.12675524</v>
      </c>
    </row>
    <row r="110" spans="1:32" x14ac:dyDescent="0.25">
      <c r="A110">
        <v>108</v>
      </c>
      <c r="B110" s="1">
        <f>Input!$K$78/12</f>
        <v>24482282.439043939</v>
      </c>
      <c r="C110" s="1">
        <f>Input!$K$79/12</f>
        <v>69026.435210082171</v>
      </c>
      <c r="D110" s="2">
        <f>SUM(B110:C110)</f>
        <v>24551308.874254022</v>
      </c>
      <c r="E110" s="1">
        <f>Input!$K$82/12</f>
        <v>-11636668.419529513</v>
      </c>
      <c r="F110" s="1">
        <f>Input!$K$83/12</f>
        <v>-34513.217605041085</v>
      </c>
      <c r="G110" s="2">
        <f>SUM(E110:F110)</f>
        <v>-11671181.637134554</v>
      </c>
      <c r="H110" s="1">
        <f>Input!$K$110/12</f>
        <v>-474441.12772105628</v>
      </c>
      <c r="I110" s="1">
        <f>Input!$K$111/12</f>
        <v>-215817.20471521732</v>
      </c>
      <c r="J110" s="10">
        <f t="shared" si="4"/>
        <v>-690258.33243627357</v>
      </c>
      <c r="K110" s="10">
        <f>IF(ISERROR(HLOOKUP(CFs!A110,Input!$C$115:$L$117,2,FALSE)),0,HLOOKUP(CFs!A110,Input!$C$115:$L$117,2,FALSE))</f>
        <v>0</v>
      </c>
      <c r="L110" s="10">
        <f>IF(ISERROR(HLOOKUP(CFs!A110,Input!$C$115:$L$117,3,FALSE)),0,HLOOKUP(CFs!A110,Input!$C$115:$L$117,3,FALSE))</f>
        <v>0</v>
      </c>
      <c r="M110" s="10">
        <f>IF(ISERROR(HLOOKUP(CFs!$A110,Input!$C$119:$L$120,2,FALSE)),0,HLOOKUP(CFs!$A110,Input!$C$119:$L$120,2,FALSE))</f>
        <v>0</v>
      </c>
      <c r="N110" s="10">
        <f>IF(ISERROR(HLOOKUP(CFs!$A110,Input!$C$123:$L$124,2,FALSE)),0,HLOOKUP(CFs!$A110,Input!$C$123:$L$124,2,FALSE))</f>
        <v>0</v>
      </c>
      <c r="O110" s="10">
        <f>IF(ISERROR(HLOOKUP(CFs!$A110,Input!$C$125:$L$126,2,FALSE)),0,HLOOKUP(CFs!$A110,Input!$C$125:$L$126,2,FALSE))</f>
        <v>0</v>
      </c>
      <c r="P110" s="10">
        <f>IF(ISERROR(HLOOKUP(CFs!$A110,Input!$C$129:$L$130,2,FALSE)),0,HLOOKUP(CFs!$A110,Input!$C$129:$L$130,2,FALSE))</f>
        <v>0</v>
      </c>
      <c r="Q110" s="10">
        <f>IF(ISERROR(HLOOKUP(CFs!$A110,Input!$C$131:$L$132,2,FALSE)),0,HLOOKUP(CFs!$A110,Input!$C$131:$L$132,2,FALSE))</f>
        <v>0</v>
      </c>
      <c r="R110" s="10">
        <f>IF(ISERROR(HLOOKUP(CFs!$A110,Input!$C$135:$L$136,2,FALSE)),0,HLOOKUP(CFs!$A110,Input!$C$135:$L$136,2,FALSE))</f>
        <v>0</v>
      </c>
      <c r="S110" s="10">
        <f>IF(ISERROR(HLOOKUP(CFs!$A110,Input!$C$137:$L$138,2,FALSE)),0,HLOOKUP(CFs!$A110,Input!$C$137:$L$138,2,FALSE))</f>
        <v>0</v>
      </c>
      <c r="T110" s="10">
        <f>IF(ISERROR(HLOOKUP(CFs!$A110,Input!$C$139:$L$140,2,FALSE)),0,HLOOKUP(CFs!$A110,Input!$C$139:$L$140,2,FALSE))</f>
        <v>0</v>
      </c>
      <c r="U110" s="10">
        <f>IF(ISERROR(HLOOKUP(CFs!$A110,Input!$C$141:$L$142,2,FALSE)),0,HLOOKUP(CFs!$A110,Input!$C$141:$L$142,2,FALSE))</f>
        <v>0</v>
      </c>
      <c r="V110" s="10">
        <f>IF(ISERROR(HLOOKUP(CFs!$A110,Input!$C$143:$L$144,2,FALSE)),0,HLOOKUP(CFs!$A110,Input!$C$143:$L$144,2,FALSE))</f>
        <v>0</v>
      </c>
      <c r="W110" s="10">
        <f>IF(ISERROR(HLOOKUP(CFs!$A110,Input!$C$145:$L$146,2,FALSE)),0,HLOOKUP(CFs!$A110,Input!$C$145:$L$146,2,FALSE))</f>
        <v>0</v>
      </c>
      <c r="X110" s="10">
        <f>IF(ISERROR(HLOOKUP(CFs!$A110,Input!$C$147:$L$148,2,FALSE)),0,HLOOKUP(CFs!$A110,Input!$C$147:$L$148,2,FALSE))</f>
        <v>0</v>
      </c>
      <c r="Y110" s="13">
        <f t="shared" si="6"/>
        <v>0</v>
      </c>
      <c r="Z110" s="10">
        <f>IF(ISERROR(HLOOKUP(CFs!$A110,Input!$C$152:$L$153,2,FALSE)),0,HLOOKUP(CFs!$A110,Input!$C$152:$L$153,2,FALSE))</f>
        <v>0</v>
      </c>
      <c r="AA110" s="10">
        <f>IF(ISERROR(HLOOKUP(CFs!$A110,Input!$C$149:$L$150,2,FALSE)),0,HLOOKUP(CFs!$A110,Input!$C$149:$L$150,2,FALSE))</f>
        <v>0</v>
      </c>
      <c r="AB110" s="10">
        <f>IF(ISERROR(HLOOKUP(CFs!$A110,Input!$C$151:$L$154,2,FALSE)),0,HLOOKUP(CFs!$A110,Input!$C$151:$L$154,2,FALSE))</f>
        <v>0</v>
      </c>
      <c r="AC110">
        <f t="shared" si="5"/>
        <v>0</v>
      </c>
      <c r="AD110" s="1" cm="1">
        <f t="array" ref="AD110">FirmaCashflow(Input!$C$165,Input!$C$166,Input!$C$163,Input!$D$163,CFs!A110)</f>
        <v>0</v>
      </c>
      <c r="AE110" s="2">
        <f>D110+G110+J110+Y110+AC110+AD110</f>
        <v>12189868.904683195</v>
      </c>
      <c r="AF110" s="2">
        <f t="shared" si="7"/>
        <v>781404981.03143847</v>
      </c>
    </row>
    <row r="111" spans="1:32" x14ac:dyDescent="0.25">
      <c r="A111">
        <v>109</v>
      </c>
      <c r="B111" s="1">
        <f>Input!$L$78/12</f>
        <v>24971928.087824818</v>
      </c>
      <c r="C111" s="1">
        <f>Input!$L$79/12</f>
        <v>372151.09497550031</v>
      </c>
      <c r="D111" s="2">
        <f>SUM(B111:C111)</f>
        <v>25344079.182800319</v>
      </c>
      <c r="E111" s="1">
        <f>Input!$L$82/12</f>
        <v>-11811218.445822455</v>
      </c>
      <c r="F111" s="1">
        <f>Input!$L$83/12</f>
        <v>-186075.54748775015</v>
      </c>
      <c r="G111" s="2">
        <f>SUM(E111:F111)</f>
        <v>-11997293.993310206</v>
      </c>
      <c r="H111" s="1">
        <f>Input!$L$110/12</f>
        <v>-481557.74463687203</v>
      </c>
      <c r="I111" s="1">
        <f>Input!$L$111/12</f>
        <v>-219054.46278594554</v>
      </c>
      <c r="J111" s="10">
        <f t="shared" si="4"/>
        <v>-700612.20742281759</v>
      </c>
      <c r="K111" s="10">
        <f>IF(ISERROR(HLOOKUP(CFs!A111,Input!$C$115:$L$117,2,FALSE)),0,HLOOKUP(CFs!A111,Input!$C$115:$L$117,2,FALSE))</f>
        <v>-264123.08431606833</v>
      </c>
      <c r="L111" s="10">
        <f>IF(ISERROR(HLOOKUP(CFs!A111,Input!$C$115:$L$117,3,FALSE)),0,HLOOKUP(CFs!A111,Input!$C$115:$L$117,3,FALSE))</f>
        <v>-151499.17173973616</v>
      </c>
      <c r="M111" s="10">
        <f>IF(ISERROR(HLOOKUP(CFs!$A111,Input!$C$119:$L$120,2,FALSE)),0,HLOOKUP(CFs!$A111,Input!$C$119:$L$120,2,FALSE))</f>
        <v>0</v>
      </c>
      <c r="N111" s="10">
        <f>IF(ISERROR(HLOOKUP(CFs!$A111,Input!$C$123:$L$124,2,FALSE)),0,HLOOKUP(CFs!$A111,Input!$C$123:$L$124,2,FALSE))</f>
        <v>0</v>
      </c>
      <c r="O111" s="10">
        <f>IF(ISERROR(HLOOKUP(CFs!$A111,Input!$C$125:$L$126,2,FALSE)),0,HLOOKUP(CFs!$A111,Input!$C$125:$L$126,2,FALSE))</f>
        <v>-554922.45645088959</v>
      </c>
      <c r="P111" s="10">
        <f>IF(ISERROR(HLOOKUP(CFs!$A111,Input!$C$129:$L$130,2,FALSE)),0,HLOOKUP(CFs!$A111,Input!$C$129:$L$130,2,FALSE))</f>
        <v>0</v>
      </c>
      <c r="Q111" s="10">
        <f>IF(ISERROR(HLOOKUP(CFs!$A111,Input!$C$131:$L$132,2,FALSE)),0,HLOOKUP(CFs!$A111,Input!$C$131:$L$132,2,FALSE))</f>
        <v>0</v>
      </c>
      <c r="R111" s="10">
        <f>IF(ISERROR(HLOOKUP(CFs!$A111,Input!$C$135:$L$136,2,FALSE)),0,HLOOKUP(CFs!$A111,Input!$C$135:$L$136,2,FALSE))</f>
        <v>0</v>
      </c>
      <c r="S111" s="10">
        <f>IF(ISERROR(HLOOKUP(CFs!$A111,Input!$C$137:$L$138,2,FALSE)),0,HLOOKUP(CFs!$A111,Input!$C$137:$L$138,2,FALSE))</f>
        <v>0</v>
      </c>
      <c r="T111" s="10">
        <f>IF(ISERROR(HLOOKUP(CFs!$A111,Input!$C$139:$L$140,2,FALSE)),0,HLOOKUP(CFs!$A111,Input!$C$139:$L$140,2,FALSE))</f>
        <v>0</v>
      </c>
      <c r="U111" s="10">
        <f>IF(ISERROR(HLOOKUP(CFs!$A111,Input!$C$141:$L$142,2,FALSE)),0,HLOOKUP(CFs!$A111,Input!$C$141:$L$142,2,FALSE))</f>
        <v>0</v>
      </c>
      <c r="V111" s="10">
        <f>IF(ISERROR(HLOOKUP(CFs!$A111,Input!$C$143:$L$144,2,FALSE)),0,HLOOKUP(CFs!$A111,Input!$C$143:$L$144,2,FALSE))</f>
        <v>0</v>
      </c>
      <c r="W111" s="10">
        <f>IF(ISERROR(HLOOKUP(CFs!$A111,Input!$C$145:$L$146,2,FALSE)),0,HLOOKUP(CFs!$A111,Input!$C$145:$L$146,2,FALSE))</f>
        <v>0</v>
      </c>
      <c r="X111" s="10">
        <f>IF(ISERROR(HLOOKUP(CFs!$A111,Input!$C$147:$L$148,2,FALSE)),0,HLOOKUP(CFs!$A111,Input!$C$147:$L$148,2,FALSE))</f>
        <v>0</v>
      </c>
      <c r="Y111" s="13">
        <f t="shared" si="6"/>
        <v>-970544.71250669402</v>
      </c>
      <c r="Z111" s="10">
        <f>IF(ISERROR(HLOOKUP(CFs!$A111,Input!$C$152:$L$153,2,FALSE)),0,HLOOKUP(CFs!$A111,Input!$C$152:$L$153,2,FALSE))</f>
        <v>0</v>
      </c>
      <c r="AA111" s="10">
        <f>IF(ISERROR(HLOOKUP(CFs!$A111,Input!$C$149:$L$150,2,FALSE)),0,HLOOKUP(CFs!$A111,Input!$C$149:$L$150,2,FALSE))</f>
        <v>0</v>
      </c>
      <c r="AB111" s="10">
        <f>IF(ISERROR(HLOOKUP(CFs!$A111,Input!$C$151:$L$154,2,FALSE)),0,HLOOKUP(CFs!$A111,Input!$C$151:$L$154,2,FALSE))</f>
        <v>0</v>
      </c>
      <c r="AC111">
        <f t="shared" si="5"/>
        <v>0</v>
      </c>
      <c r="AD111" s="1" cm="1">
        <f t="array" ref="AD111">FirmaCashflow(Input!$C$165,Input!$C$166,Input!$C$163,Input!$D$163,CFs!A111)</f>
        <v>0</v>
      </c>
      <c r="AE111" s="2">
        <f>D111+G111+J111+Y111+AC111+AD111</f>
        <v>11675628.269560602</v>
      </c>
      <c r="AF111" s="2">
        <f t="shared" si="7"/>
        <v>793080609.30099905</v>
      </c>
    </row>
    <row r="112" spans="1:32" x14ac:dyDescent="0.25">
      <c r="A112">
        <v>110</v>
      </c>
      <c r="B112" s="1">
        <f>Input!$L$78/12</f>
        <v>24971928.087824818</v>
      </c>
      <c r="C112" s="1">
        <f>Input!$L$79/12</f>
        <v>372151.09497550031</v>
      </c>
      <c r="D112" s="2">
        <f>SUM(B112:C112)</f>
        <v>25344079.182800319</v>
      </c>
      <c r="E112" s="1">
        <f>Input!$L$82/12</f>
        <v>-11811218.445822455</v>
      </c>
      <c r="F112" s="1">
        <f>Input!$L$83/12</f>
        <v>-186075.54748775015</v>
      </c>
      <c r="G112" s="2">
        <f>SUM(E112:F112)</f>
        <v>-11997293.993310206</v>
      </c>
      <c r="H112" s="1">
        <f>Input!$L$110/12</f>
        <v>-481557.74463687203</v>
      </c>
      <c r="I112" s="1">
        <f>Input!$L$111/12</f>
        <v>-219054.46278594554</v>
      </c>
      <c r="J112" s="10">
        <f t="shared" si="4"/>
        <v>-700612.20742281759</v>
      </c>
      <c r="K112" s="10">
        <f>IF(ISERROR(HLOOKUP(CFs!A112,Input!$C$115:$L$117,2,FALSE)),0,HLOOKUP(CFs!A112,Input!$C$115:$L$117,2,FALSE))</f>
        <v>0</v>
      </c>
      <c r="L112" s="10">
        <f>IF(ISERROR(HLOOKUP(CFs!A112,Input!$C$115:$L$117,3,FALSE)),0,HLOOKUP(CFs!A112,Input!$C$115:$L$117,3,FALSE))</f>
        <v>0</v>
      </c>
      <c r="M112" s="10">
        <f>IF(ISERROR(HLOOKUP(CFs!$A112,Input!$C$119:$L$120,2,FALSE)),0,HLOOKUP(CFs!$A112,Input!$C$119:$L$120,2,FALSE))</f>
        <v>0</v>
      </c>
      <c r="N112" s="10">
        <f>IF(ISERROR(HLOOKUP(CFs!$A112,Input!$C$123:$L$124,2,FALSE)),0,HLOOKUP(CFs!$A112,Input!$C$123:$L$124,2,FALSE))</f>
        <v>0</v>
      </c>
      <c r="O112" s="10">
        <f>IF(ISERROR(HLOOKUP(CFs!$A112,Input!$C$125:$L$126,2,FALSE)),0,HLOOKUP(CFs!$A112,Input!$C$125:$L$126,2,FALSE))</f>
        <v>0</v>
      </c>
      <c r="P112" s="10">
        <f>IF(ISERROR(HLOOKUP(CFs!$A112,Input!$C$129:$L$130,2,FALSE)),0,HLOOKUP(CFs!$A112,Input!$C$129:$L$130,2,FALSE))</f>
        <v>0</v>
      </c>
      <c r="Q112" s="10">
        <f>IF(ISERROR(HLOOKUP(CFs!$A112,Input!$C$131:$L$132,2,FALSE)),0,HLOOKUP(CFs!$A112,Input!$C$131:$L$132,2,FALSE))</f>
        <v>0</v>
      </c>
      <c r="R112" s="10">
        <f>IF(ISERROR(HLOOKUP(CFs!$A112,Input!$C$135:$L$136,2,FALSE)),0,HLOOKUP(CFs!$A112,Input!$C$135:$L$136,2,FALSE))</f>
        <v>0</v>
      </c>
      <c r="S112" s="10">
        <f>IF(ISERROR(HLOOKUP(CFs!$A112,Input!$C$137:$L$138,2,FALSE)),0,HLOOKUP(CFs!$A112,Input!$C$137:$L$138,2,FALSE))</f>
        <v>0</v>
      </c>
      <c r="T112" s="10">
        <f>IF(ISERROR(HLOOKUP(CFs!$A112,Input!$C$139:$L$140,2,FALSE)),0,HLOOKUP(CFs!$A112,Input!$C$139:$L$140,2,FALSE))</f>
        <v>0</v>
      </c>
      <c r="U112" s="10">
        <f>IF(ISERROR(HLOOKUP(CFs!$A112,Input!$C$141:$L$142,2,FALSE)),0,HLOOKUP(CFs!$A112,Input!$C$141:$L$142,2,FALSE))</f>
        <v>0</v>
      </c>
      <c r="V112" s="10">
        <f>IF(ISERROR(HLOOKUP(CFs!$A112,Input!$C$143:$L$144,2,FALSE)),0,HLOOKUP(CFs!$A112,Input!$C$143:$L$144,2,FALSE))</f>
        <v>0</v>
      </c>
      <c r="W112" s="10">
        <f>IF(ISERROR(HLOOKUP(CFs!$A112,Input!$C$145:$L$146,2,FALSE)),0,HLOOKUP(CFs!$A112,Input!$C$145:$L$146,2,FALSE))</f>
        <v>0</v>
      </c>
      <c r="X112" s="10">
        <f>IF(ISERROR(HLOOKUP(CFs!$A112,Input!$C$147:$L$148,2,FALSE)),0,HLOOKUP(CFs!$A112,Input!$C$147:$L$148,2,FALSE))</f>
        <v>0</v>
      </c>
      <c r="Y112" s="13">
        <f t="shared" si="6"/>
        <v>0</v>
      </c>
      <c r="Z112" s="10">
        <f>IF(ISERROR(HLOOKUP(CFs!$A112,Input!$C$152:$L$153,2,FALSE)),0,HLOOKUP(CFs!$A112,Input!$C$152:$L$153,2,FALSE))</f>
        <v>0</v>
      </c>
      <c r="AA112" s="10">
        <f>IF(ISERROR(HLOOKUP(CFs!$A112,Input!$C$149:$L$150,2,FALSE)),0,HLOOKUP(CFs!$A112,Input!$C$149:$L$150,2,FALSE))</f>
        <v>0</v>
      </c>
      <c r="AB112" s="10">
        <f>IF(ISERROR(HLOOKUP(CFs!$A112,Input!$C$151:$L$154,2,FALSE)),0,HLOOKUP(CFs!$A112,Input!$C$151:$L$154,2,FALSE))</f>
        <v>0</v>
      </c>
      <c r="AC112">
        <f t="shared" si="5"/>
        <v>0</v>
      </c>
      <c r="AD112" s="1" cm="1">
        <f t="array" ref="AD112">FirmaCashflow(Input!$C$165,Input!$C$166,Input!$C$163,Input!$D$163,CFs!A112)</f>
        <v>0</v>
      </c>
      <c r="AE112" s="2">
        <f>D112+G112+J112+Y112+AC112+AD112</f>
        <v>12646172.982067296</v>
      </c>
      <c r="AF112" s="2">
        <f t="shared" si="7"/>
        <v>805726782.28306639</v>
      </c>
    </row>
    <row r="113" spans="1:32" x14ac:dyDescent="0.25">
      <c r="A113">
        <v>111</v>
      </c>
      <c r="B113" s="1">
        <f>Input!$L$78/12</f>
        <v>24971928.087824818</v>
      </c>
      <c r="C113" s="1">
        <f>Input!$L$79/12</f>
        <v>372151.09497550031</v>
      </c>
      <c r="D113" s="2">
        <f>SUM(B113:C113)</f>
        <v>25344079.182800319</v>
      </c>
      <c r="E113" s="1">
        <f>Input!$L$82/12</f>
        <v>-11811218.445822455</v>
      </c>
      <c r="F113" s="1">
        <f>Input!$L$83/12</f>
        <v>-186075.54748775015</v>
      </c>
      <c r="G113" s="2">
        <f>SUM(E113:F113)</f>
        <v>-11997293.993310206</v>
      </c>
      <c r="H113" s="1">
        <f>Input!$L$110/12</f>
        <v>-481557.74463687203</v>
      </c>
      <c r="I113" s="1">
        <f>Input!$L$111/12</f>
        <v>-219054.46278594554</v>
      </c>
      <c r="J113" s="10">
        <f t="shared" si="4"/>
        <v>-700612.20742281759</v>
      </c>
      <c r="K113" s="10">
        <f>IF(ISERROR(HLOOKUP(CFs!A113,Input!$C$115:$L$117,2,FALSE)),0,HLOOKUP(CFs!A113,Input!$C$115:$L$117,2,FALSE))</f>
        <v>0</v>
      </c>
      <c r="L113" s="10">
        <f>IF(ISERROR(HLOOKUP(CFs!A113,Input!$C$115:$L$117,3,FALSE)),0,HLOOKUP(CFs!A113,Input!$C$115:$L$117,3,FALSE))</f>
        <v>0</v>
      </c>
      <c r="M113" s="10">
        <f>IF(ISERROR(HLOOKUP(CFs!$A113,Input!$C$119:$L$120,2,FALSE)),0,HLOOKUP(CFs!$A113,Input!$C$119:$L$120,2,FALSE))</f>
        <v>0</v>
      </c>
      <c r="N113" s="10">
        <f>IF(ISERROR(HLOOKUP(CFs!$A113,Input!$C$123:$L$124,2,FALSE)),0,HLOOKUP(CFs!$A113,Input!$C$123:$L$124,2,FALSE))</f>
        <v>0</v>
      </c>
      <c r="O113" s="10">
        <f>IF(ISERROR(HLOOKUP(CFs!$A113,Input!$C$125:$L$126,2,FALSE)),0,HLOOKUP(CFs!$A113,Input!$C$125:$L$126,2,FALSE))</f>
        <v>0</v>
      </c>
      <c r="P113" s="10">
        <f>IF(ISERROR(HLOOKUP(CFs!$A113,Input!$C$129:$L$130,2,FALSE)),0,HLOOKUP(CFs!$A113,Input!$C$129:$L$130,2,FALSE))</f>
        <v>0</v>
      </c>
      <c r="Q113" s="10">
        <f>IF(ISERROR(HLOOKUP(CFs!$A113,Input!$C$131:$L$132,2,FALSE)),0,HLOOKUP(CFs!$A113,Input!$C$131:$L$132,2,FALSE))</f>
        <v>0</v>
      </c>
      <c r="R113" s="10">
        <f>IF(ISERROR(HLOOKUP(CFs!$A113,Input!$C$135:$L$136,2,FALSE)),0,HLOOKUP(CFs!$A113,Input!$C$135:$L$136,2,FALSE))</f>
        <v>0</v>
      </c>
      <c r="S113" s="10">
        <f>IF(ISERROR(HLOOKUP(CFs!$A113,Input!$C$137:$L$138,2,FALSE)),0,HLOOKUP(CFs!$A113,Input!$C$137:$L$138,2,FALSE))</f>
        <v>0</v>
      </c>
      <c r="T113" s="10">
        <f>IF(ISERROR(HLOOKUP(CFs!$A113,Input!$C$139:$L$140,2,FALSE)),0,HLOOKUP(CFs!$A113,Input!$C$139:$L$140,2,FALSE))</f>
        <v>0</v>
      </c>
      <c r="U113" s="10">
        <f>IF(ISERROR(HLOOKUP(CFs!$A113,Input!$C$141:$L$142,2,FALSE)),0,HLOOKUP(CFs!$A113,Input!$C$141:$L$142,2,FALSE))</f>
        <v>0</v>
      </c>
      <c r="V113" s="10">
        <f>IF(ISERROR(HLOOKUP(CFs!$A113,Input!$C$143:$L$144,2,FALSE)),0,HLOOKUP(CFs!$A113,Input!$C$143:$L$144,2,FALSE))</f>
        <v>0</v>
      </c>
      <c r="W113" s="10">
        <f>IF(ISERROR(HLOOKUP(CFs!$A113,Input!$C$145:$L$146,2,FALSE)),0,HLOOKUP(CFs!$A113,Input!$C$145:$L$146,2,FALSE))</f>
        <v>0</v>
      </c>
      <c r="X113" s="10">
        <f>IF(ISERROR(HLOOKUP(CFs!$A113,Input!$C$147:$L$148,2,FALSE)),0,HLOOKUP(CFs!$A113,Input!$C$147:$L$148,2,FALSE))</f>
        <v>0</v>
      </c>
      <c r="Y113" s="13">
        <f t="shared" si="6"/>
        <v>0</v>
      </c>
      <c r="Z113" s="10">
        <f>IF(ISERROR(HLOOKUP(CFs!$A113,Input!$C$152:$L$153,2,FALSE)),0,HLOOKUP(CFs!$A113,Input!$C$152:$L$153,2,FALSE))</f>
        <v>0</v>
      </c>
      <c r="AA113" s="10">
        <f>IF(ISERROR(HLOOKUP(CFs!$A113,Input!$C$149:$L$150,2,FALSE)),0,HLOOKUP(CFs!$A113,Input!$C$149:$L$150,2,FALSE))</f>
        <v>0</v>
      </c>
      <c r="AB113" s="10">
        <f>IF(ISERROR(HLOOKUP(CFs!$A113,Input!$C$151:$L$154,2,FALSE)),0,HLOOKUP(CFs!$A113,Input!$C$151:$L$154,2,FALSE))</f>
        <v>0</v>
      </c>
      <c r="AC113">
        <f t="shared" si="5"/>
        <v>0</v>
      </c>
      <c r="AD113" s="1" cm="1">
        <f t="array" ref="AD113">FirmaCashflow(Input!$C$165,Input!$C$166,Input!$C$163,Input!$D$163,CFs!A113)</f>
        <v>0</v>
      </c>
      <c r="AE113" s="2">
        <f>D113+G113+J113+Y113+AC113+AD113</f>
        <v>12646172.982067296</v>
      </c>
      <c r="AF113" s="2">
        <f t="shared" si="7"/>
        <v>818372955.26513374</v>
      </c>
    </row>
    <row r="114" spans="1:32" x14ac:dyDescent="0.25">
      <c r="A114">
        <v>112</v>
      </c>
      <c r="B114" s="1">
        <f>Input!$L$78/12</f>
        <v>24971928.087824818</v>
      </c>
      <c r="C114" s="1">
        <f>Input!$L$79/12</f>
        <v>372151.09497550031</v>
      </c>
      <c r="D114" s="2">
        <f>SUM(B114:C114)</f>
        <v>25344079.182800319</v>
      </c>
      <c r="E114" s="1">
        <f>Input!$L$82/12</f>
        <v>-11811218.445822455</v>
      </c>
      <c r="F114" s="1">
        <f>Input!$L$83/12</f>
        <v>-186075.54748775015</v>
      </c>
      <c r="G114" s="2">
        <f>SUM(E114:F114)</f>
        <v>-11997293.993310206</v>
      </c>
      <c r="H114" s="1">
        <f>Input!$L$110/12</f>
        <v>-481557.74463687203</v>
      </c>
      <c r="I114" s="1">
        <f>Input!$L$111/12</f>
        <v>-219054.46278594554</v>
      </c>
      <c r="J114" s="10">
        <f t="shared" si="4"/>
        <v>-700612.20742281759</v>
      </c>
      <c r="K114" s="10">
        <f>IF(ISERROR(HLOOKUP(CFs!A114,Input!$C$115:$L$117,2,FALSE)),0,HLOOKUP(CFs!A114,Input!$C$115:$L$117,2,FALSE))</f>
        <v>0</v>
      </c>
      <c r="L114" s="10">
        <f>IF(ISERROR(HLOOKUP(CFs!A114,Input!$C$115:$L$117,3,FALSE)),0,HLOOKUP(CFs!A114,Input!$C$115:$L$117,3,FALSE))</f>
        <v>0</v>
      </c>
      <c r="M114" s="10">
        <f>IF(ISERROR(HLOOKUP(CFs!$A114,Input!$C$119:$L$120,2,FALSE)),0,HLOOKUP(CFs!$A114,Input!$C$119:$L$120,2,FALSE))</f>
        <v>0</v>
      </c>
      <c r="N114" s="10">
        <f>IF(ISERROR(HLOOKUP(CFs!$A114,Input!$C$123:$L$124,2,FALSE)),0,HLOOKUP(CFs!$A114,Input!$C$123:$L$124,2,FALSE))</f>
        <v>0</v>
      </c>
      <c r="O114" s="10">
        <f>IF(ISERROR(HLOOKUP(CFs!$A114,Input!$C$125:$L$126,2,FALSE)),0,HLOOKUP(CFs!$A114,Input!$C$125:$L$126,2,FALSE))</f>
        <v>0</v>
      </c>
      <c r="P114" s="10">
        <f>IF(ISERROR(HLOOKUP(CFs!$A114,Input!$C$129:$L$130,2,FALSE)),0,HLOOKUP(CFs!$A114,Input!$C$129:$L$130,2,FALSE))</f>
        <v>0</v>
      </c>
      <c r="Q114" s="10">
        <f>IF(ISERROR(HLOOKUP(CFs!$A114,Input!$C$131:$L$132,2,FALSE)),0,HLOOKUP(CFs!$A114,Input!$C$131:$L$132,2,FALSE))</f>
        <v>0</v>
      </c>
      <c r="R114" s="10">
        <f>IF(ISERROR(HLOOKUP(CFs!$A114,Input!$C$135:$L$136,2,FALSE)),0,HLOOKUP(CFs!$A114,Input!$C$135:$L$136,2,FALSE))</f>
        <v>0</v>
      </c>
      <c r="S114" s="10">
        <f>IF(ISERROR(HLOOKUP(CFs!$A114,Input!$C$137:$L$138,2,FALSE)),0,HLOOKUP(CFs!$A114,Input!$C$137:$L$138,2,FALSE))</f>
        <v>0</v>
      </c>
      <c r="T114" s="10">
        <f>IF(ISERROR(HLOOKUP(CFs!$A114,Input!$C$139:$L$140,2,FALSE)),0,HLOOKUP(CFs!$A114,Input!$C$139:$L$140,2,FALSE))</f>
        <v>0</v>
      </c>
      <c r="U114" s="10">
        <f>IF(ISERROR(HLOOKUP(CFs!$A114,Input!$C$141:$L$142,2,FALSE)),0,HLOOKUP(CFs!$A114,Input!$C$141:$L$142,2,FALSE))</f>
        <v>0</v>
      </c>
      <c r="V114" s="10">
        <f>IF(ISERROR(HLOOKUP(CFs!$A114,Input!$C$143:$L$144,2,FALSE)),0,HLOOKUP(CFs!$A114,Input!$C$143:$L$144,2,FALSE))</f>
        <v>0</v>
      </c>
      <c r="W114" s="10">
        <f>IF(ISERROR(HLOOKUP(CFs!$A114,Input!$C$145:$L$146,2,FALSE)),0,HLOOKUP(CFs!$A114,Input!$C$145:$L$146,2,FALSE))</f>
        <v>0</v>
      </c>
      <c r="X114" s="10">
        <f>IF(ISERROR(HLOOKUP(CFs!$A114,Input!$C$147:$L$148,2,FALSE)),0,HLOOKUP(CFs!$A114,Input!$C$147:$L$148,2,FALSE))</f>
        <v>0</v>
      </c>
      <c r="Y114" s="13">
        <f t="shared" si="6"/>
        <v>0</v>
      </c>
      <c r="Z114" s="10">
        <f>IF(ISERROR(HLOOKUP(CFs!$A114,Input!$C$152:$L$153,2,FALSE)),0,HLOOKUP(CFs!$A114,Input!$C$152:$L$153,2,FALSE))</f>
        <v>0</v>
      </c>
      <c r="AA114" s="10">
        <f>IF(ISERROR(HLOOKUP(CFs!$A114,Input!$C$149:$L$150,2,FALSE)),0,HLOOKUP(CFs!$A114,Input!$C$149:$L$150,2,FALSE))</f>
        <v>0</v>
      </c>
      <c r="AB114" s="10">
        <f>IF(ISERROR(HLOOKUP(CFs!$A114,Input!$C$151:$L$154,2,FALSE)),0,HLOOKUP(CFs!$A114,Input!$C$151:$L$154,2,FALSE))</f>
        <v>0</v>
      </c>
      <c r="AC114">
        <f t="shared" si="5"/>
        <v>0</v>
      </c>
      <c r="AD114" s="1" cm="1">
        <f t="array" ref="AD114">FirmaCashflow(Input!$C$165,Input!$C$166,Input!$C$163,Input!$D$163,CFs!A114)</f>
        <v>0</v>
      </c>
      <c r="AE114" s="2">
        <f>D114+G114+J114+Y114+AC114+AD114</f>
        <v>12646172.982067296</v>
      </c>
      <c r="AF114" s="2">
        <f t="shared" si="7"/>
        <v>831019128.24720109</v>
      </c>
    </row>
    <row r="115" spans="1:32" x14ac:dyDescent="0.25">
      <c r="A115">
        <v>113</v>
      </c>
      <c r="B115" s="1">
        <f>Input!$L$78/12</f>
        <v>24971928.087824818</v>
      </c>
      <c r="C115" s="1">
        <f>Input!$L$79/12</f>
        <v>372151.09497550031</v>
      </c>
      <c r="D115" s="2">
        <f>SUM(B115:C115)</f>
        <v>25344079.182800319</v>
      </c>
      <c r="E115" s="1">
        <f>Input!$L$82/12</f>
        <v>-11811218.445822455</v>
      </c>
      <c r="F115" s="1">
        <f>Input!$L$83/12</f>
        <v>-186075.54748775015</v>
      </c>
      <c r="G115" s="2">
        <f>SUM(E115:F115)</f>
        <v>-11997293.993310206</v>
      </c>
      <c r="H115" s="1">
        <f>Input!$L$110/12</f>
        <v>-481557.74463687203</v>
      </c>
      <c r="I115" s="1">
        <f>Input!$L$111/12</f>
        <v>-219054.46278594554</v>
      </c>
      <c r="J115" s="10">
        <f t="shared" si="4"/>
        <v>-700612.20742281759</v>
      </c>
      <c r="K115" s="10">
        <f>IF(ISERROR(HLOOKUP(CFs!A115,Input!$C$115:$L$117,2,FALSE)),0,HLOOKUP(CFs!A115,Input!$C$115:$L$117,2,FALSE))</f>
        <v>0</v>
      </c>
      <c r="L115" s="10">
        <f>IF(ISERROR(HLOOKUP(CFs!A115,Input!$C$115:$L$117,3,FALSE)),0,HLOOKUP(CFs!A115,Input!$C$115:$L$117,3,FALSE))</f>
        <v>0</v>
      </c>
      <c r="M115" s="10">
        <f>IF(ISERROR(HLOOKUP(CFs!$A115,Input!$C$119:$L$120,2,FALSE)),0,HLOOKUP(CFs!$A115,Input!$C$119:$L$120,2,FALSE))</f>
        <v>0</v>
      </c>
      <c r="N115" s="10">
        <f>IF(ISERROR(HLOOKUP(CFs!$A115,Input!$C$123:$L$124,2,FALSE)),0,HLOOKUP(CFs!$A115,Input!$C$123:$L$124,2,FALSE))</f>
        <v>0</v>
      </c>
      <c r="O115" s="10">
        <f>IF(ISERROR(HLOOKUP(CFs!$A115,Input!$C$125:$L$126,2,FALSE)),0,HLOOKUP(CFs!$A115,Input!$C$125:$L$126,2,FALSE))</f>
        <v>0</v>
      </c>
      <c r="P115" s="10">
        <f>IF(ISERROR(HLOOKUP(CFs!$A115,Input!$C$129:$L$130,2,FALSE)),0,HLOOKUP(CFs!$A115,Input!$C$129:$L$130,2,FALSE))</f>
        <v>0</v>
      </c>
      <c r="Q115" s="10">
        <f>IF(ISERROR(HLOOKUP(CFs!$A115,Input!$C$131:$L$132,2,FALSE)),0,HLOOKUP(CFs!$A115,Input!$C$131:$L$132,2,FALSE))</f>
        <v>0</v>
      </c>
      <c r="R115" s="10">
        <f>IF(ISERROR(HLOOKUP(CFs!$A115,Input!$C$135:$L$136,2,FALSE)),0,HLOOKUP(CFs!$A115,Input!$C$135:$L$136,2,FALSE))</f>
        <v>0</v>
      </c>
      <c r="S115" s="10">
        <f>IF(ISERROR(HLOOKUP(CFs!$A115,Input!$C$137:$L$138,2,FALSE)),0,HLOOKUP(CFs!$A115,Input!$C$137:$L$138,2,FALSE))</f>
        <v>0</v>
      </c>
      <c r="T115" s="10">
        <f>IF(ISERROR(HLOOKUP(CFs!$A115,Input!$C$139:$L$140,2,FALSE)),0,HLOOKUP(CFs!$A115,Input!$C$139:$L$140,2,FALSE))</f>
        <v>0</v>
      </c>
      <c r="U115" s="10">
        <f>IF(ISERROR(HLOOKUP(CFs!$A115,Input!$C$141:$L$142,2,FALSE)),0,HLOOKUP(CFs!$A115,Input!$C$141:$L$142,2,FALSE))</f>
        <v>0</v>
      </c>
      <c r="V115" s="10">
        <f>IF(ISERROR(HLOOKUP(CFs!$A115,Input!$C$143:$L$144,2,FALSE)),0,HLOOKUP(CFs!$A115,Input!$C$143:$L$144,2,FALSE))</f>
        <v>0</v>
      </c>
      <c r="W115" s="10">
        <f>IF(ISERROR(HLOOKUP(CFs!$A115,Input!$C$145:$L$146,2,FALSE)),0,HLOOKUP(CFs!$A115,Input!$C$145:$L$146,2,FALSE))</f>
        <v>0</v>
      </c>
      <c r="X115" s="10">
        <f>IF(ISERROR(HLOOKUP(CFs!$A115,Input!$C$147:$L$148,2,FALSE)),0,HLOOKUP(CFs!$A115,Input!$C$147:$L$148,2,FALSE))</f>
        <v>0</v>
      </c>
      <c r="Y115" s="13">
        <f t="shared" si="6"/>
        <v>0</v>
      </c>
      <c r="Z115" s="10">
        <f>IF(ISERROR(HLOOKUP(CFs!$A115,Input!$C$152:$L$153,2,FALSE)),0,HLOOKUP(CFs!$A115,Input!$C$152:$L$153,2,FALSE))</f>
        <v>0</v>
      </c>
      <c r="AA115" s="10">
        <f>IF(ISERROR(HLOOKUP(CFs!$A115,Input!$C$149:$L$150,2,FALSE)),0,HLOOKUP(CFs!$A115,Input!$C$149:$L$150,2,FALSE))</f>
        <v>0</v>
      </c>
      <c r="AB115" s="10">
        <f>IF(ISERROR(HLOOKUP(CFs!$A115,Input!$C$151:$L$154,2,FALSE)),0,HLOOKUP(CFs!$A115,Input!$C$151:$L$154,2,FALSE))</f>
        <v>0</v>
      </c>
      <c r="AC115">
        <f t="shared" si="5"/>
        <v>0</v>
      </c>
      <c r="AD115" s="1" cm="1">
        <f t="array" ref="AD115">FirmaCashflow(Input!$C$165,Input!$C$166,Input!$C$163,Input!$D$163,CFs!A115)</f>
        <v>0</v>
      </c>
      <c r="AE115" s="2">
        <f>D115+G115+J115+Y115+AC115+AD115</f>
        <v>12646172.982067296</v>
      </c>
      <c r="AF115" s="2">
        <f t="shared" si="7"/>
        <v>843665301.22926843</v>
      </c>
    </row>
    <row r="116" spans="1:32" x14ac:dyDescent="0.25">
      <c r="A116">
        <v>114</v>
      </c>
      <c r="B116" s="1">
        <f>Input!$L$78/12</f>
        <v>24971928.087824818</v>
      </c>
      <c r="C116" s="1">
        <f>Input!$L$79/12</f>
        <v>372151.09497550031</v>
      </c>
      <c r="D116" s="2">
        <f>SUM(B116:C116)</f>
        <v>25344079.182800319</v>
      </c>
      <c r="E116" s="1">
        <f>Input!$L$82/12</f>
        <v>-11811218.445822455</v>
      </c>
      <c r="F116" s="1">
        <f>Input!$L$83/12</f>
        <v>-186075.54748775015</v>
      </c>
      <c r="G116" s="2">
        <f>SUM(E116:F116)</f>
        <v>-11997293.993310206</v>
      </c>
      <c r="H116" s="1">
        <f>Input!$L$110/12</f>
        <v>-481557.74463687203</v>
      </c>
      <c r="I116" s="1">
        <f>Input!$L$111/12</f>
        <v>-219054.46278594554</v>
      </c>
      <c r="J116" s="10">
        <f t="shared" si="4"/>
        <v>-700612.20742281759</v>
      </c>
      <c r="K116" s="10">
        <f>IF(ISERROR(HLOOKUP(CFs!A116,Input!$C$115:$L$117,2,FALSE)),0,HLOOKUP(CFs!A116,Input!$C$115:$L$117,2,FALSE))</f>
        <v>0</v>
      </c>
      <c r="L116" s="10">
        <f>IF(ISERROR(HLOOKUP(CFs!A116,Input!$C$115:$L$117,3,FALSE)),0,HLOOKUP(CFs!A116,Input!$C$115:$L$117,3,FALSE))</f>
        <v>0</v>
      </c>
      <c r="M116" s="10">
        <f>IF(ISERROR(HLOOKUP(CFs!$A116,Input!$C$119:$L$120,2,FALSE)),0,HLOOKUP(CFs!$A116,Input!$C$119:$L$120,2,FALSE))</f>
        <v>-665906.9477410675</v>
      </c>
      <c r="N116" s="10">
        <f>IF(ISERROR(HLOOKUP(CFs!$A116,Input!$C$123:$L$124,2,FALSE)),0,HLOOKUP(CFs!$A116,Input!$C$123:$L$124,2,FALSE))</f>
        <v>0</v>
      </c>
      <c r="O116" s="10">
        <f>IF(ISERROR(HLOOKUP(CFs!$A116,Input!$C$125:$L$126,2,FALSE)),0,HLOOKUP(CFs!$A116,Input!$C$125:$L$126,2,FALSE))</f>
        <v>0</v>
      </c>
      <c r="P116" s="10">
        <f>IF(ISERROR(HLOOKUP(CFs!$A116,Input!$C$129:$L$130,2,FALSE)),0,HLOOKUP(CFs!$A116,Input!$C$129:$L$130,2,FALSE))</f>
        <v>0</v>
      </c>
      <c r="Q116" s="10">
        <f>IF(ISERROR(HLOOKUP(CFs!$A116,Input!$C$131:$L$132,2,FALSE)),0,HLOOKUP(CFs!$A116,Input!$C$131:$L$132,2,FALSE))</f>
        <v>0</v>
      </c>
      <c r="R116" s="10">
        <f>IF(ISERROR(HLOOKUP(CFs!$A116,Input!$C$135:$L$136,2,FALSE)),0,HLOOKUP(CFs!$A116,Input!$C$135:$L$136,2,FALSE))</f>
        <v>0</v>
      </c>
      <c r="S116" s="10">
        <f>IF(ISERROR(HLOOKUP(CFs!$A116,Input!$C$137:$L$138,2,FALSE)),0,HLOOKUP(CFs!$A116,Input!$C$137:$L$138,2,FALSE))</f>
        <v>0</v>
      </c>
      <c r="T116" s="10">
        <f>IF(ISERROR(HLOOKUP(CFs!$A116,Input!$C$139:$L$140,2,FALSE)),0,HLOOKUP(CFs!$A116,Input!$C$139:$L$140,2,FALSE))</f>
        <v>0</v>
      </c>
      <c r="U116" s="10">
        <f>IF(ISERROR(HLOOKUP(CFs!$A116,Input!$C$141:$L$142,2,FALSE)),0,HLOOKUP(CFs!$A116,Input!$C$141:$L$142,2,FALSE))</f>
        <v>0</v>
      </c>
      <c r="V116" s="10">
        <f>IF(ISERROR(HLOOKUP(CFs!$A116,Input!$C$143:$L$144,2,FALSE)),0,HLOOKUP(CFs!$A116,Input!$C$143:$L$144,2,FALSE))</f>
        <v>0</v>
      </c>
      <c r="W116" s="10">
        <f>IF(ISERROR(HLOOKUP(CFs!$A116,Input!$C$145:$L$146,2,FALSE)),0,HLOOKUP(CFs!$A116,Input!$C$145:$L$146,2,FALSE))</f>
        <v>0</v>
      </c>
      <c r="X116" s="10">
        <f>IF(ISERROR(HLOOKUP(CFs!$A116,Input!$C$147:$L$148,2,FALSE)),0,HLOOKUP(CFs!$A116,Input!$C$147:$L$148,2,FALSE))</f>
        <v>0</v>
      </c>
      <c r="Y116" s="13">
        <f t="shared" si="6"/>
        <v>-665906.9477410675</v>
      </c>
      <c r="Z116" s="10">
        <f>IF(ISERROR(HLOOKUP(CFs!$A116,Input!$C$152:$L$153,2,FALSE)),0,HLOOKUP(CFs!$A116,Input!$C$152:$L$153,2,FALSE))</f>
        <v>0</v>
      </c>
      <c r="AA116" s="10">
        <f>IF(ISERROR(HLOOKUP(CFs!$A116,Input!$C$149:$L$150,2,FALSE)),0,HLOOKUP(CFs!$A116,Input!$C$149:$L$150,2,FALSE))</f>
        <v>0</v>
      </c>
      <c r="AB116" s="10">
        <f>IF(ISERROR(HLOOKUP(CFs!$A116,Input!$C$151:$L$154,2,FALSE)),0,HLOOKUP(CFs!$A116,Input!$C$151:$L$154,2,FALSE))</f>
        <v>0</v>
      </c>
      <c r="AC116">
        <f t="shared" si="5"/>
        <v>0</v>
      </c>
      <c r="AD116" s="1" cm="1">
        <f t="array" ref="AD116">FirmaCashflow(Input!$C$165,Input!$C$166,Input!$C$163,Input!$D$163,CFs!A116)</f>
        <v>0</v>
      </c>
      <c r="AE116" s="2">
        <f>D116+G116+J116+Y116+AC116+AD116</f>
        <v>11980266.034326229</v>
      </c>
      <c r="AF116" s="2">
        <f t="shared" si="7"/>
        <v>855645567.26359463</v>
      </c>
    </row>
    <row r="117" spans="1:32" x14ac:dyDescent="0.25">
      <c r="A117">
        <v>115</v>
      </c>
      <c r="B117" s="1">
        <f>Input!$L$78/12</f>
        <v>24971928.087824818</v>
      </c>
      <c r="C117" s="1">
        <f>Input!$L$79/12</f>
        <v>372151.09497550031</v>
      </c>
      <c r="D117" s="2">
        <f>SUM(B117:C117)</f>
        <v>25344079.182800319</v>
      </c>
      <c r="E117" s="1">
        <f>Input!$L$82/12</f>
        <v>-11811218.445822455</v>
      </c>
      <c r="F117" s="1">
        <f>Input!$L$83/12</f>
        <v>-186075.54748775015</v>
      </c>
      <c r="G117" s="2">
        <f>SUM(E117:F117)</f>
        <v>-11997293.993310206</v>
      </c>
      <c r="H117" s="1">
        <f>Input!$L$110/12</f>
        <v>-481557.74463687203</v>
      </c>
      <c r="I117" s="1">
        <f>Input!$L$111/12</f>
        <v>-219054.46278594554</v>
      </c>
      <c r="J117" s="10">
        <f t="shared" si="4"/>
        <v>-700612.20742281759</v>
      </c>
      <c r="K117" s="10">
        <f>IF(ISERROR(HLOOKUP(CFs!A117,Input!$C$115:$L$117,2,FALSE)),0,HLOOKUP(CFs!A117,Input!$C$115:$L$117,2,FALSE))</f>
        <v>0</v>
      </c>
      <c r="L117" s="10">
        <f>IF(ISERROR(HLOOKUP(CFs!A117,Input!$C$115:$L$117,3,FALSE)),0,HLOOKUP(CFs!A117,Input!$C$115:$L$117,3,FALSE))</f>
        <v>0</v>
      </c>
      <c r="M117" s="10">
        <f>IF(ISERROR(HLOOKUP(CFs!$A117,Input!$C$119:$L$120,2,FALSE)),0,HLOOKUP(CFs!$A117,Input!$C$119:$L$120,2,FALSE))</f>
        <v>0</v>
      </c>
      <c r="N117" s="10">
        <f>IF(ISERROR(HLOOKUP(CFs!$A117,Input!$C$123:$L$124,2,FALSE)),0,HLOOKUP(CFs!$A117,Input!$C$123:$L$124,2,FALSE))</f>
        <v>0</v>
      </c>
      <c r="O117" s="10">
        <f>IF(ISERROR(HLOOKUP(CFs!$A117,Input!$C$125:$L$126,2,FALSE)),0,HLOOKUP(CFs!$A117,Input!$C$125:$L$126,2,FALSE))</f>
        <v>0</v>
      </c>
      <c r="P117" s="10">
        <f>IF(ISERROR(HLOOKUP(CFs!$A117,Input!$C$129:$L$130,2,FALSE)),0,HLOOKUP(CFs!$A117,Input!$C$129:$L$130,2,FALSE))</f>
        <v>0</v>
      </c>
      <c r="Q117" s="10">
        <f>IF(ISERROR(HLOOKUP(CFs!$A117,Input!$C$131:$L$132,2,FALSE)),0,HLOOKUP(CFs!$A117,Input!$C$131:$L$132,2,FALSE))</f>
        <v>0</v>
      </c>
      <c r="R117" s="10">
        <f>IF(ISERROR(HLOOKUP(CFs!$A117,Input!$C$135:$L$136,2,FALSE)),0,HLOOKUP(CFs!$A117,Input!$C$135:$L$136,2,FALSE))</f>
        <v>0</v>
      </c>
      <c r="S117" s="10">
        <f>IF(ISERROR(HLOOKUP(CFs!$A117,Input!$C$137:$L$138,2,FALSE)),0,HLOOKUP(CFs!$A117,Input!$C$137:$L$138,2,FALSE))</f>
        <v>0</v>
      </c>
      <c r="T117" s="10">
        <f>IF(ISERROR(HLOOKUP(CFs!$A117,Input!$C$139:$L$140,2,FALSE)),0,HLOOKUP(CFs!$A117,Input!$C$139:$L$140,2,FALSE))</f>
        <v>0</v>
      </c>
      <c r="U117" s="10">
        <f>IF(ISERROR(HLOOKUP(CFs!$A117,Input!$C$141:$L$142,2,FALSE)),0,HLOOKUP(CFs!$A117,Input!$C$141:$L$142,2,FALSE))</f>
        <v>0</v>
      </c>
      <c r="V117" s="10">
        <f>IF(ISERROR(HLOOKUP(CFs!$A117,Input!$C$143:$L$144,2,FALSE)),0,HLOOKUP(CFs!$A117,Input!$C$143:$L$144,2,FALSE))</f>
        <v>0</v>
      </c>
      <c r="W117" s="10">
        <f>IF(ISERROR(HLOOKUP(CFs!$A117,Input!$C$145:$L$146,2,FALSE)),0,HLOOKUP(CFs!$A117,Input!$C$145:$L$146,2,FALSE))</f>
        <v>0</v>
      </c>
      <c r="X117" s="10">
        <f>IF(ISERROR(HLOOKUP(CFs!$A117,Input!$C$147:$L$148,2,FALSE)),0,HLOOKUP(CFs!$A117,Input!$C$147:$L$148,2,FALSE))</f>
        <v>0</v>
      </c>
      <c r="Y117" s="13">
        <f t="shared" si="6"/>
        <v>0</v>
      </c>
      <c r="Z117" s="10">
        <f>IF(ISERROR(HLOOKUP(CFs!$A117,Input!$C$152:$L$153,2,FALSE)),0,HLOOKUP(CFs!$A117,Input!$C$152:$L$153,2,FALSE))</f>
        <v>0</v>
      </c>
      <c r="AA117" s="10">
        <f>IF(ISERROR(HLOOKUP(CFs!$A117,Input!$C$149:$L$150,2,FALSE)),0,HLOOKUP(CFs!$A117,Input!$C$149:$L$150,2,FALSE))</f>
        <v>0</v>
      </c>
      <c r="AB117" s="10">
        <f>IF(ISERROR(HLOOKUP(CFs!$A117,Input!$C$151:$L$154,2,FALSE)),0,HLOOKUP(CFs!$A117,Input!$C$151:$L$154,2,FALSE))</f>
        <v>0</v>
      </c>
      <c r="AC117">
        <f t="shared" si="5"/>
        <v>0</v>
      </c>
      <c r="AD117" s="1" cm="1">
        <f t="array" ref="AD117">FirmaCashflow(Input!$C$165,Input!$C$166,Input!$C$163,Input!$D$163,CFs!A117)</f>
        <v>0</v>
      </c>
      <c r="AE117" s="2">
        <f>D117+G117+J117+Y117+AC117+AD117</f>
        <v>12646172.982067296</v>
      </c>
      <c r="AF117" s="2">
        <f t="shared" si="7"/>
        <v>868291740.24566197</v>
      </c>
    </row>
    <row r="118" spans="1:32" x14ac:dyDescent="0.25">
      <c r="A118">
        <v>116</v>
      </c>
      <c r="B118" s="1">
        <f>Input!$L$78/12</f>
        <v>24971928.087824818</v>
      </c>
      <c r="C118" s="1">
        <f>Input!$L$79/12</f>
        <v>372151.09497550031</v>
      </c>
      <c r="D118" s="2">
        <f>SUM(B118:C118)</f>
        <v>25344079.182800319</v>
      </c>
      <c r="E118" s="1">
        <f>Input!$L$82/12</f>
        <v>-11811218.445822455</v>
      </c>
      <c r="F118" s="1">
        <f>Input!$L$83/12</f>
        <v>-186075.54748775015</v>
      </c>
      <c r="G118" s="2">
        <f>SUM(E118:F118)</f>
        <v>-11997293.993310206</v>
      </c>
      <c r="H118" s="1">
        <f>Input!$L$110/12</f>
        <v>-481557.74463687203</v>
      </c>
      <c r="I118" s="1">
        <f>Input!$L$111/12</f>
        <v>-219054.46278594554</v>
      </c>
      <c r="J118" s="10">
        <f t="shared" si="4"/>
        <v>-700612.20742281759</v>
      </c>
      <c r="K118" s="10">
        <f>IF(ISERROR(HLOOKUP(CFs!A118,Input!$C$115:$L$117,2,FALSE)),0,HLOOKUP(CFs!A118,Input!$C$115:$L$117,2,FALSE))</f>
        <v>0</v>
      </c>
      <c r="L118" s="10">
        <f>IF(ISERROR(HLOOKUP(CFs!A118,Input!$C$115:$L$117,3,FALSE)),0,HLOOKUP(CFs!A118,Input!$C$115:$L$117,3,FALSE))</f>
        <v>0</v>
      </c>
      <c r="M118" s="10">
        <f>IF(ISERROR(HLOOKUP(CFs!$A118,Input!$C$119:$L$120,2,FALSE)),0,HLOOKUP(CFs!$A118,Input!$C$119:$L$120,2,FALSE))</f>
        <v>0</v>
      </c>
      <c r="N118" s="10">
        <f>IF(ISERROR(HLOOKUP(CFs!$A118,Input!$C$123:$L$124,2,FALSE)),0,HLOOKUP(CFs!$A118,Input!$C$123:$L$124,2,FALSE))</f>
        <v>0</v>
      </c>
      <c r="O118" s="10">
        <f>IF(ISERROR(HLOOKUP(CFs!$A118,Input!$C$125:$L$126,2,FALSE)),0,HLOOKUP(CFs!$A118,Input!$C$125:$L$126,2,FALSE))</f>
        <v>0</v>
      </c>
      <c r="P118" s="10">
        <f>IF(ISERROR(HLOOKUP(CFs!$A118,Input!$C$129:$L$130,2,FALSE)),0,HLOOKUP(CFs!$A118,Input!$C$129:$L$130,2,FALSE))</f>
        <v>0</v>
      </c>
      <c r="Q118" s="10">
        <f>IF(ISERROR(HLOOKUP(CFs!$A118,Input!$C$131:$L$132,2,FALSE)),0,HLOOKUP(CFs!$A118,Input!$C$131:$L$132,2,FALSE))</f>
        <v>0</v>
      </c>
      <c r="R118" s="10">
        <f>IF(ISERROR(HLOOKUP(CFs!$A118,Input!$C$135:$L$136,2,FALSE)),0,HLOOKUP(CFs!$A118,Input!$C$135:$L$136,2,FALSE))</f>
        <v>0</v>
      </c>
      <c r="S118" s="10">
        <f>IF(ISERROR(HLOOKUP(CFs!$A118,Input!$C$137:$L$138,2,FALSE)),0,HLOOKUP(CFs!$A118,Input!$C$137:$L$138,2,FALSE))</f>
        <v>0</v>
      </c>
      <c r="T118" s="10">
        <f>IF(ISERROR(HLOOKUP(CFs!$A118,Input!$C$139:$L$140,2,FALSE)),0,HLOOKUP(CFs!$A118,Input!$C$139:$L$140,2,FALSE))</f>
        <v>0</v>
      </c>
      <c r="U118" s="10">
        <f>IF(ISERROR(HLOOKUP(CFs!$A118,Input!$C$141:$L$142,2,FALSE)),0,HLOOKUP(CFs!$A118,Input!$C$141:$L$142,2,FALSE))</f>
        <v>0</v>
      </c>
      <c r="V118" s="10">
        <f>IF(ISERROR(HLOOKUP(CFs!$A118,Input!$C$143:$L$144,2,FALSE)),0,HLOOKUP(CFs!$A118,Input!$C$143:$L$144,2,FALSE))</f>
        <v>0</v>
      </c>
      <c r="W118" s="10">
        <f>IF(ISERROR(HLOOKUP(CFs!$A118,Input!$C$145:$L$146,2,FALSE)),0,HLOOKUP(CFs!$A118,Input!$C$145:$L$146,2,FALSE))</f>
        <v>0</v>
      </c>
      <c r="X118" s="10">
        <f>IF(ISERROR(HLOOKUP(CFs!$A118,Input!$C$147:$L$148,2,FALSE)),0,HLOOKUP(CFs!$A118,Input!$C$147:$L$148,2,FALSE))</f>
        <v>0</v>
      </c>
      <c r="Y118" s="13">
        <f t="shared" si="6"/>
        <v>0</v>
      </c>
      <c r="Z118" s="10">
        <f>IF(ISERROR(HLOOKUP(CFs!$A118,Input!$C$152:$L$153,2,FALSE)),0,HLOOKUP(CFs!$A118,Input!$C$152:$L$153,2,FALSE))</f>
        <v>0</v>
      </c>
      <c r="AA118" s="10">
        <f>IF(ISERROR(HLOOKUP(CFs!$A118,Input!$C$149:$L$150,2,FALSE)),0,HLOOKUP(CFs!$A118,Input!$C$149:$L$150,2,FALSE))</f>
        <v>0</v>
      </c>
      <c r="AB118" s="10">
        <f>IF(ISERROR(HLOOKUP(CFs!$A118,Input!$C$151:$L$154,2,FALSE)),0,HLOOKUP(CFs!$A118,Input!$C$151:$L$154,2,FALSE))</f>
        <v>0</v>
      </c>
      <c r="AC118">
        <f t="shared" si="5"/>
        <v>0</v>
      </c>
      <c r="AD118" s="1" cm="1">
        <f t="array" ref="AD118">FirmaCashflow(Input!$C$165,Input!$C$166,Input!$C$163,Input!$D$163,CFs!A118)</f>
        <v>0</v>
      </c>
      <c r="AE118" s="2">
        <f>D118+G118+J118+Y118+AC118+AD118</f>
        <v>12646172.982067296</v>
      </c>
      <c r="AF118" s="2">
        <f t="shared" si="7"/>
        <v>880937913.22772932</v>
      </c>
    </row>
    <row r="119" spans="1:32" x14ac:dyDescent="0.25">
      <c r="A119">
        <v>117</v>
      </c>
      <c r="B119" s="1">
        <f>Input!$L$78/12</f>
        <v>24971928.087824818</v>
      </c>
      <c r="C119" s="1">
        <f>Input!$L$79/12</f>
        <v>372151.09497550031</v>
      </c>
      <c r="D119" s="2">
        <f>SUM(B119:C119)</f>
        <v>25344079.182800319</v>
      </c>
      <c r="E119" s="1">
        <f>Input!$L$82/12</f>
        <v>-11811218.445822455</v>
      </c>
      <c r="F119" s="1">
        <f>Input!$L$83/12</f>
        <v>-186075.54748775015</v>
      </c>
      <c r="G119" s="2">
        <f>SUM(E119:F119)</f>
        <v>-11997293.993310206</v>
      </c>
      <c r="H119" s="1">
        <f>Input!$L$110/12</f>
        <v>-481557.74463687203</v>
      </c>
      <c r="I119" s="1">
        <f>Input!$L$111/12</f>
        <v>-219054.46278594554</v>
      </c>
      <c r="J119" s="10">
        <f t="shared" si="4"/>
        <v>-700612.20742281759</v>
      </c>
      <c r="K119" s="10">
        <f>IF(ISERROR(HLOOKUP(CFs!A119,Input!$C$115:$L$117,2,FALSE)),0,HLOOKUP(CFs!A119,Input!$C$115:$L$117,2,FALSE))</f>
        <v>0</v>
      </c>
      <c r="L119" s="10">
        <f>IF(ISERROR(HLOOKUP(CFs!A119,Input!$C$115:$L$117,3,FALSE)),0,HLOOKUP(CFs!A119,Input!$C$115:$L$117,3,FALSE))</f>
        <v>0</v>
      </c>
      <c r="M119" s="10">
        <f>IF(ISERROR(HLOOKUP(CFs!$A119,Input!$C$119:$L$120,2,FALSE)),0,HLOOKUP(CFs!$A119,Input!$C$119:$L$120,2,FALSE))</f>
        <v>0</v>
      </c>
      <c r="N119" s="10">
        <f>IF(ISERROR(HLOOKUP(CFs!$A119,Input!$C$123:$L$124,2,FALSE)),0,HLOOKUP(CFs!$A119,Input!$C$123:$L$124,2,FALSE))</f>
        <v>0</v>
      </c>
      <c r="O119" s="10">
        <f>IF(ISERROR(HLOOKUP(CFs!$A119,Input!$C$125:$L$126,2,FALSE)),0,HLOOKUP(CFs!$A119,Input!$C$125:$L$126,2,FALSE))</f>
        <v>0</v>
      </c>
      <c r="P119" s="10">
        <f>IF(ISERROR(HLOOKUP(CFs!$A119,Input!$C$129:$L$130,2,FALSE)),0,HLOOKUP(CFs!$A119,Input!$C$129:$L$130,2,FALSE))</f>
        <v>0</v>
      </c>
      <c r="Q119" s="10">
        <f>IF(ISERROR(HLOOKUP(CFs!$A119,Input!$C$131:$L$132,2,FALSE)),0,HLOOKUP(CFs!$A119,Input!$C$131:$L$132,2,FALSE))</f>
        <v>0</v>
      </c>
      <c r="R119" s="10">
        <f>IF(ISERROR(HLOOKUP(CFs!$A119,Input!$C$135:$L$136,2,FALSE)),0,HLOOKUP(CFs!$A119,Input!$C$135:$L$136,2,FALSE))</f>
        <v>0</v>
      </c>
      <c r="S119" s="10">
        <f>IF(ISERROR(HLOOKUP(CFs!$A119,Input!$C$137:$L$138,2,FALSE)),0,HLOOKUP(CFs!$A119,Input!$C$137:$L$138,2,FALSE))</f>
        <v>0</v>
      </c>
      <c r="T119" s="10">
        <f>IF(ISERROR(HLOOKUP(CFs!$A119,Input!$C$139:$L$140,2,FALSE)),0,HLOOKUP(CFs!$A119,Input!$C$139:$L$140,2,FALSE))</f>
        <v>0</v>
      </c>
      <c r="U119" s="10">
        <f>IF(ISERROR(HLOOKUP(CFs!$A119,Input!$C$141:$L$142,2,FALSE)),0,HLOOKUP(CFs!$A119,Input!$C$141:$L$142,2,FALSE))</f>
        <v>0</v>
      </c>
      <c r="V119" s="10">
        <f>IF(ISERROR(HLOOKUP(CFs!$A119,Input!$C$143:$L$144,2,FALSE)),0,HLOOKUP(CFs!$A119,Input!$C$143:$L$144,2,FALSE))</f>
        <v>0</v>
      </c>
      <c r="W119" s="10">
        <f>IF(ISERROR(HLOOKUP(CFs!$A119,Input!$C$145:$L$146,2,FALSE)),0,HLOOKUP(CFs!$A119,Input!$C$145:$L$146,2,FALSE))</f>
        <v>0</v>
      </c>
      <c r="X119" s="10">
        <f>IF(ISERROR(HLOOKUP(CFs!$A119,Input!$C$147:$L$148,2,FALSE)),0,HLOOKUP(CFs!$A119,Input!$C$147:$L$148,2,FALSE))</f>
        <v>0</v>
      </c>
      <c r="Y119" s="13">
        <f t="shared" si="6"/>
        <v>0</v>
      </c>
      <c r="Z119" s="10">
        <f>IF(ISERROR(HLOOKUP(CFs!$A119,Input!$C$152:$L$153,2,FALSE)),0,HLOOKUP(CFs!$A119,Input!$C$152:$L$153,2,FALSE))</f>
        <v>0</v>
      </c>
      <c r="AA119" s="10">
        <f>IF(ISERROR(HLOOKUP(CFs!$A119,Input!$C$149:$L$150,2,FALSE)),0,HLOOKUP(CFs!$A119,Input!$C$149:$L$150,2,FALSE))</f>
        <v>0</v>
      </c>
      <c r="AB119" s="10">
        <f>IF(ISERROR(HLOOKUP(CFs!$A119,Input!$C$151:$L$154,2,FALSE)),0,HLOOKUP(CFs!$A119,Input!$C$151:$L$154,2,FALSE))</f>
        <v>0</v>
      </c>
      <c r="AC119">
        <f t="shared" si="5"/>
        <v>0</v>
      </c>
      <c r="AD119" s="1" cm="1">
        <f t="array" ref="AD119">FirmaCashflow(Input!$C$165,Input!$C$166,Input!$C$163,Input!$D$163,CFs!A119)</f>
        <v>0</v>
      </c>
      <c r="AE119" s="2">
        <f>D119+G119+J119+Y119+AC119+AD119</f>
        <v>12646172.982067296</v>
      </c>
      <c r="AF119" s="2">
        <f t="shared" si="7"/>
        <v>893584086.20979667</v>
      </c>
    </row>
    <row r="120" spans="1:32" x14ac:dyDescent="0.25">
      <c r="A120">
        <v>118</v>
      </c>
      <c r="B120" s="1">
        <f>Input!$L$78/12</f>
        <v>24971928.087824818</v>
      </c>
      <c r="C120" s="1">
        <f>Input!$L$79/12</f>
        <v>372151.09497550031</v>
      </c>
      <c r="D120" s="2">
        <f>SUM(B120:C120)</f>
        <v>25344079.182800319</v>
      </c>
      <c r="E120" s="1">
        <f>Input!$L$82/12</f>
        <v>-11811218.445822455</v>
      </c>
      <c r="F120" s="1">
        <f>Input!$L$83/12</f>
        <v>-186075.54748775015</v>
      </c>
      <c r="G120" s="2">
        <f>SUM(E120:F120)</f>
        <v>-11997293.993310206</v>
      </c>
      <c r="H120" s="1">
        <f>Input!$L$110/12</f>
        <v>-481557.74463687203</v>
      </c>
      <c r="I120" s="1">
        <f>Input!$L$111/12</f>
        <v>-219054.46278594554</v>
      </c>
      <c r="J120" s="10">
        <f t="shared" si="4"/>
        <v>-700612.20742281759</v>
      </c>
      <c r="K120" s="10">
        <f>IF(ISERROR(HLOOKUP(CFs!A120,Input!$C$115:$L$117,2,FALSE)),0,HLOOKUP(CFs!A120,Input!$C$115:$L$117,2,FALSE))</f>
        <v>0</v>
      </c>
      <c r="L120" s="10">
        <f>IF(ISERROR(HLOOKUP(CFs!A120,Input!$C$115:$L$117,3,FALSE)),0,HLOOKUP(CFs!A120,Input!$C$115:$L$117,3,FALSE))</f>
        <v>0</v>
      </c>
      <c r="M120" s="10">
        <f>IF(ISERROR(HLOOKUP(CFs!$A120,Input!$C$119:$L$120,2,FALSE)),0,HLOOKUP(CFs!$A120,Input!$C$119:$L$120,2,FALSE))</f>
        <v>0</v>
      </c>
      <c r="N120" s="10">
        <f>IF(ISERROR(HLOOKUP(CFs!$A120,Input!$C$123:$L$124,2,FALSE)),0,HLOOKUP(CFs!$A120,Input!$C$123:$L$124,2,FALSE))</f>
        <v>0</v>
      </c>
      <c r="O120" s="10">
        <f>IF(ISERROR(HLOOKUP(CFs!$A120,Input!$C$125:$L$126,2,FALSE)),0,HLOOKUP(CFs!$A120,Input!$C$125:$L$126,2,FALSE))</f>
        <v>0</v>
      </c>
      <c r="P120" s="10">
        <f>IF(ISERROR(HLOOKUP(CFs!$A120,Input!$C$129:$L$130,2,FALSE)),0,HLOOKUP(CFs!$A120,Input!$C$129:$L$130,2,FALSE))</f>
        <v>0</v>
      </c>
      <c r="Q120" s="10">
        <f>IF(ISERROR(HLOOKUP(CFs!$A120,Input!$C$131:$L$132,2,FALSE)),0,HLOOKUP(CFs!$A120,Input!$C$131:$L$132,2,FALSE))</f>
        <v>0</v>
      </c>
      <c r="R120" s="10">
        <f>IF(ISERROR(HLOOKUP(CFs!$A120,Input!$C$135:$L$136,2,FALSE)),0,HLOOKUP(CFs!$A120,Input!$C$135:$L$136,2,FALSE))</f>
        <v>0</v>
      </c>
      <c r="S120" s="10">
        <f>IF(ISERROR(HLOOKUP(CFs!$A120,Input!$C$137:$L$138,2,FALSE)),0,HLOOKUP(CFs!$A120,Input!$C$137:$L$138,2,FALSE))</f>
        <v>0</v>
      </c>
      <c r="T120" s="10">
        <f>IF(ISERROR(HLOOKUP(CFs!$A120,Input!$C$139:$L$140,2,FALSE)),0,HLOOKUP(CFs!$A120,Input!$C$139:$L$140,2,FALSE))</f>
        <v>0</v>
      </c>
      <c r="U120" s="10">
        <f>IF(ISERROR(HLOOKUP(CFs!$A120,Input!$C$141:$L$142,2,FALSE)),0,HLOOKUP(CFs!$A120,Input!$C$141:$L$142,2,FALSE))</f>
        <v>0</v>
      </c>
      <c r="V120" s="10">
        <f>IF(ISERROR(HLOOKUP(CFs!$A120,Input!$C$143:$L$144,2,FALSE)),0,HLOOKUP(CFs!$A120,Input!$C$143:$L$144,2,FALSE))</f>
        <v>0</v>
      </c>
      <c r="W120" s="10">
        <f>IF(ISERROR(HLOOKUP(CFs!$A120,Input!$C$145:$L$146,2,FALSE)),0,HLOOKUP(CFs!$A120,Input!$C$145:$L$146,2,FALSE))</f>
        <v>0</v>
      </c>
      <c r="X120" s="10">
        <f>IF(ISERROR(HLOOKUP(CFs!$A120,Input!$C$147:$L$148,2,FALSE)),0,HLOOKUP(CFs!$A120,Input!$C$147:$L$148,2,FALSE))</f>
        <v>0</v>
      </c>
      <c r="Y120" s="13">
        <f t="shared" si="6"/>
        <v>0</v>
      </c>
      <c r="Z120" s="10">
        <f>IF(ISERROR(HLOOKUP(CFs!$A120,Input!$C$152:$L$153,2,FALSE)),0,HLOOKUP(CFs!$A120,Input!$C$152:$L$153,2,FALSE))</f>
        <v>0</v>
      </c>
      <c r="AA120" s="10">
        <f>IF(ISERROR(HLOOKUP(CFs!$A120,Input!$C$149:$L$150,2,FALSE)),0,HLOOKUP(CFs!$A120,Input!$C$149:$L$150,2,FALSE))</f>
        <v>0</v>
      </c>
      <c r="AB120" s="10">
        <f>IF(ISERROR(HLOOKUP(CFs!$A120,Input!$C$151:$L$154,2,FALSE)),0,HLOOKUP(CFs!$A120,Input!$C$151:$L$154,2,FALSE))</f>
        <v>0</v>
      </c>
      <c r="AC120">
        <f t="shared" si="5"/>
        <v>0</v>
      </c>
      <c r="AD120" s="1" cm="1">
        <f t="array" ref="AD120">FirmaCashflow(Input!$C$165,Input!$C$166,Input!$C$163,Input!$D$163,CFs!A120)</f>
        <v>0</v>
      </c>
      <c r="AE120" s="2">
        <f>D120+G120+J120+Y120+AC120+AD120</f>
        <v>12646172.982067296</v>
      </c>
      <c r="AF120" s="2">
        <f t="shared" si="7"/>
        <v>906230259.19186401</v>
      </c>
    </row>
    <row r="121" spans="1:32" x14ac:dyDescent="0.25">
      <c r="A121">
        <v>119</v>
      </c>
      <c r="B121" s="1">
        <f>Input!$L$78/12</f>
        <v>24971928.087824818</v>
      </c>
      <c r="C121" s="1">
        <f>Input!$L$79/12</f>
        <v>372151.09497550031</v>
      </c>
      <c r="D121" s="2">
        <f>SUM(B121:C121)</f>
        <v>25344079.182800319</v>
      </c>
      <c r="E121" s="1">
        <f>Input!$L$82/12</f>
        <v>-11811218.445822455</v>
      </c>
      <c r="F121" s="1">
        <f>Input!$L$83/12</f>
        <v>-186075.54748775015</v>
      </c>
      <c r="G121" s="2">
        <f>SUM(E121:F121)</f>
        <v>-11997293.993310206</v>
      </c>
      <c r="H121" s="1">
        <f>Input!$L$110/12</f>
        <v>-481557.74463687203</v>
      </c>
      <c r="I121" s="1">
        <f>Input!$L$111/12</f>
        <v>-219054.46278594554</v>
      </c>
      <c r="J121" s="10">
        <f t="shared" si="4"/>
        <v>-700612.20742281759</v>
      </c>
      <c r="K121" s="10">
        <f>IF(ISERROR(HLOOKUP(CFs!A121,Input!$C$115:$L$117,2,FALSE)),0,HLOOKUP(CFs!A121,Input!$C$115:$L$117,2,FALSE))</f>
        <v>0</v>
      </c>
      <c r="L121" s="10">
        <f>IF(ISERROR(HLOOKUP(CFs!A121,Input!$C$115:$L$117,3,FALSE)),0,HLOOKUP(CFs!A121,Input!$C$115:$L$117,3,FALSE))</f>
        <v>0</v>
      </c>
      <c r="M121" s="10">
        <f>IF(ISERROR(HLOOKUP(CFs!$A121,Input!$C$119:$L$120,2,FALSE)),0,HLOOKUP(CFs!$A121,Input!$C$119:$L$120,2,FALSE))</f>
        <v>0</v>
      </c>
      <c r="N121" s="10">
        <f>IF(ISERROR(HLOOKUP(CFs!$A121,Input!$C$123:$L$124,2,FALSE)),0,HLOOKUP(CFs!$A121,Input!$C$123:$L$124,2,FALSE))</f>
        <v>0</v>
      </c>
      <c r="O121" s="10">
        <f>IF(ISERROR(HLOOKUP(CFs!$A121,Input!$C$125:$L$126,2,FALSE)),0,HLOOKUP(CFs!$A121,Input!$C$125:$L$126,2,FALSE))</f>
        <v>0</v>
      </c>
      <c r="P121" s="10">
        <f>IF(ISERROR(HLOOKUP(CFs!$A121,Input!$C$129:$L$130,2,FALSE)),0,HLOOKUP(CFs!$A121,Input!$C$129:$L$130,2,FALSE))</f>
        <v>0</v>
      </c>
      <c r="Q121" s="10">
        <f>IF(ISERROR(HLOOKUP(CFs!$A121,Input!$C$131:$L$132,2,FALSE)),0,HLOOKUP(CFs!$A121,Input!$C$131:$L$132,2,FALSE))</f>
        <v>0</v>
      </c>
      <c r="R121" s="10">
        <f>IF(ISERROR(HLOOKUP(CFs!$A121,Input!$C$135:$L$136,2,FALSE)),0,HLOOKUP(CFs!$A121,Input!$C$135:$L$136,2,FALSE))</f>
        <v>0</v>
      </c>
      <c r="S121" s="10">
        <f>IF(ISERROR(HLOOKUP(CFs!$A121,Input!$C$137:$L$138,2,FALSE)),0,HLOOKUP(CFs!$A121,Input!$C$137:$L$138,2,FALSE))</f>
        <v>0</v>
      </c>
      <c r="T121" s="10">
        <f>IF(ISERROR(HLOOKUP(CFs!$A121,Input!$C$139:$L$140,2,FALSE)),0,HLOOKUP(CFs!$A121,Input!$C$139:$L$140,2,FALSE))</f>
        <v>0</v>
      </c>
      <c r="U121" s="10">
        <f>IF(ISERROR(HLOOKUP(CFs!$A121,Input!$C$141:$L$142,2,FALSE)),0,HLOOKUP(CFs!$A121,Input!$C$141:$L$142,2,FALSE))</f>
        <v>0</v>
      </c>
      <c r="V121" s="10">
        <f>IF(ISERROR(HLOOKUP(CFs!$A121,Input!$C$143:$L$144,2,FALSE)),0,HLOOKUP(CFs!$A121,Input!$C$143:$L$144,2,FALSE))</f>
        <v>0</v>
      </c>
      <c r="W121" s="10">
        <f>IF(ISERROR(HLOOKUP(CFs!$A121,Input!$C$145:$L$146,2,FALSE)),0,HLOOKUP(CFs!$A121,Input!$C$145:$L$146,2,FALSE))</f>
        <v>0</v>
      </c>
      <c r="X121" s="10">
        <f>IF(ISERROR(HLOOKUP(CFs!$A121,Input!$C$147:$L$148,2,FALSE)),0,HLOOKUP(CFs!$A121,Input!$C$147:$L$148,2,FALSE))</f>
        <v>0</v>
      </c>
      <c r="Y121" s="13">
        <f t="shared" si="6"/>
        <v>0</v>
      </c>
      <c r="Z121" s="10">
        <f>IF(ISERROR(HLOOKUP(CFs!$A121,Input!$C$152:$L$153,2,FALSE)),0,HLOOKUP(CFs!$A121,Input!$C$152:$L$153,2,FALSE))</f>
        <v>0</v>
      </c>
      <c r="AA121" s="10">
        <f>IF(ISERROR(HLOOKUP(CFs!$A121,Input!$C$149:$L$150,2,FALSE)),0,HLOOKUP(CFs!$A121,Input!$C$149:$L$150,2,FALSE))</f>
        <v>0</v>
      </c>
      <c r="AB121" s="10">
        <f>IF(ISERROR(HLOOKUP(CFs!$A121,Input!$C$151:$L$154,2,FALSE)),0,HLOOKUP(CFs!$A121,Input!$C$151:$L$154,2,FALSE))</f>
        <v>0</v>
      </c>
      <c r="AC121">
        <f t="shared" si="5"/>
        <v>0</v>
      </c>
      <c r="AD121" s="1" cm="1">
        <f t="array" ref="AD121">FirmaCashflow(Input!$C$165,Input!$C$166,Input!$C$163,Input!$D$163,CFs!A121)</f>
        <v>0</v>
      </c>
      <c r="AE121" s="2">
        <f>D121+G121+J121+Y121+AC121+AD121</f>
        <v>12646172.982067296</v>
      </c>
      <c r="AF121" s="2">
        <f t="shared" si="7"/>
        <v>918876432.17393136</v>
      </c>
    </row>
    <row r="122" spans="1:32" x14ac:dyDescent="0.25">
      <c r="A122">
        <v>120</v>
      </c>
      <c r="B122" s="1">
        <f>Input!$L$78/12</f>
        <v>24971928.087824818</v>
      </c>
      <c r="C122" s="1">
        <f>Input!$L$79/12</f>
        <v>372151.09497550031</v>
      </c>
      <c r="D122" s="2">
        <f>SUM(B122:C122)</f>
        <v>25344079.182800319</v>
      </c>
      <c r="E122" s="1">
        <f>Input!$L$82/12</f>
        <v>-11811218.445822455</v>
      </c>
      <c r="F122" s="1">
        <f>Input!$L$83/12</f>
        <v>-186075.54748775015</v>
      </c>
      <c r="G122" s="2">
        <f>SUM(E122:F122)</f>
        <v>-11997293.993310206</v>
      </c>
      <c r="H122" s="1">
        <f>Input!$L$110/12</f>
        <v>-481557.74463687203</v>
      </c>
      <c r="I122" s="1">
        <f>Input!$L$111/12</f>
        <v>-219054.46278594554</v>
      </c>
      <c r="J122" s="10">
        <f t="shared" si="4"/>
        <v>-700612.20742281759</v>
      </c>
      <c r="K122" s="10">
        <f>IF(ISERROR(HLOOKUP(CFs!A122,Input!$C$115:$L$117,2,FALSE)),0,HLOOKUP(CFs!A122,Input!$C$115:$L$117,2,FALSE))</f>
        <v>0</v>
      </c>
      <c r="L122" s="10">
        <f>IF(ISERROR(HLOOKUP(CFs!A122,Input!$C$115:$L$117,3,FALSE)),0,HLOOKUP(CFs!A122,Input!$C$115:$L$117,3,FALSE))</f>
        <v>0</v>
      </c>
      <c r="M122" s="10">
        <f>IF(ISERROR(HLOOKUP(CFs!$A122,Input!$C$119:$L$120,2,FALSE)),0,HLOOKUP(CFs!$A122,Input!$C$119:$L$120,2,FALSE))</f>
        <v>0</v>
      </c>
      <c r="N122" s="10">
        <f>IF(ISERROR(HLOOKUP(CFs!$A122,Input!$C$123:$L$124,2,FALSE)),0,HLOOKUP(CFs!$A122,Input!$C$123:$L$124,2,FALSE))</f>
        <v>0</v>
      </c>
      <c r="O122" s="10">
        <f>IF(ISERROR(HLOOKUP(CFs!$A122,Input!$C$125:$L$126,2,FALSE)),0,HLOOKUP(CFs!$A122,Input!$C$125:$L$126,2,FALSE))</f>
        <v>0</v>
      </c>
      <c r="P122" s="10">
        <f>IF(ISERROR(HLOOKUP(CFs!$A122,Input!$C$129:$L$130,2,FALSE)),0,HLOOKUP(CFs!$A122,Input!$C$129:$L$130,2,FALSE))</f>
        <v>0</v>
      </c>
      <c r="Q122" s="10">
        <f>IF(ISERROR(HLOOKUP(CFs!$A122,Input!$C$131:$L$132,2,FALSE)),0,HLOOKUP(CFs!$A122,Input!$C$131:$L$132,2,FALSE))</f>
        <v>0</v>
      </c>
      <c r="R122" s="10">
        <f>IF(ISERROR(HLOOKUP(CFs!$A122,Input!$C$135:$L$136,2,FALSE)),0,HLOOKUP(CFs!$A122,Input!$C$135:$L$136,2,FALSE))</f>
        <v>0</v>
      </c>
      <c r="S122" s="10">
        <f>IF(ISERROR(HLOOKUP(CFs!$A122,Input!$C$137:$L$138,2,FALSE)),0,HLOOKUP(CFs!$A122,Input!$C$137:$L$138,2,FALSE))</f>
        <v>0</v>
      </c>
      <c r="T122" s="10">
        <f>IF(ISERROR(HLOOKUP(CFs!$A122,Input!$C$139:$L$140,2,FALSE)),0,HLOOKUP(CFs!$A122,Input!$C$139:$L$140,2,FALSE))</f>
        <v>0</v>
      </c>
      <c r="U122" s="10">
        <f>IF(ISERROR(HLOOKUP(CFs!$A122,Input!$C$141:$L$142,2,FALSE)),0,HLOOKUP(CFs!$A122,Input!$C$141:$L$142,2,FALSE))</f>
        <v>0</v>
      </c>
      <c r="V122" s="10">
        <f>IF(ISERROR(HLOOKUP(CFs!$A122,Input!$C$143:$L$144,2,FALSE)),0,HLOOKUP(CFs!$A122,Input!$C$143:$L$144,2,FALSE))</f>
        <v>0</v>
      </c>
      <c r="W122" s="10">
        <f>IF(ISERROR(HLOOKUP(CFs!$A122,Input!$C$145:$L$146,2,FALSE)),0,HLOOKUP(CFs!$A122,Input!$C$145:$L$146,2,FALSE))</f>
        <v>0</v>
      </c>
      <c r="X122" s="10">
        <f>IF(ISERROR(HLOOKUP(CFs!$A122,Input!$C$147:$L$148,2,FALSE)),0,HLOOKUP(CFs!$A122,Input!$C$147:$L$148,2,FALSE))</f>
        <v>0</v>
      </c>
      <c r="Y122" s="13">
        <f t="shared" si="6"/>
        <v>0</v>
      </c>
      <c r="Z122" s="10">
        <f>IF(ISERROR(HLOOKUP(CFs!$A122,Input!$C$152:$L$153,2,FALSE)),0,HLOOKUP(CFs!$A122,Input!$C$152:$L$153,2,FALSE))</f>
        <v>0</v>
      </c>
      <c r="AA122" s="10">
        <f>IF(ISERROR(HLOOKUP(CFs!$A122,Input!$C$149:$L$150,2,FALSE)),0,HLOOKUP(CFs!$A122,Input!$C$149:$L$150,2,FALSE))</f>
        <v>0</v>
      </c>
      <c r="AB122" s="10">
        <f>IF(ISERROR(HLOOKUP(CFs!$A122,Input!$C$151:$L$154,2,FALSE)),0,HLOOKUP(CFs!$A122,Input!$C$151:$L$154,2,FALSE))</f>
        <v>0</v>
      </c>
      <c r="AC122">
        <f t="shared" si="5"/>
        <v>0</v>
      </c>
      <c r="AD122" s="1" cm="1">
        <f t="array" ref="AD122">FirmaCashflow(Input!$C$165,Input!$C$166,Input!$C$163,Input!$D$163,CFs!A122)</f>
        <v>0</v>
      </c>
      <c r="AE122" s="2">
        <f>D122+G122+J122+Y122+AC122+AD122</f>
        <v>12646172.982067296</v>
      </c>
      <c r="AF122" s="2">
        <f t="shared" si="7"/>
        <v>931522605.15599871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4932-4323-46FF-AF4B-B277E5B2F351}">
  <sheetPr codeName="Tabelle2"/>
  <dimension ref="A1:M166"/>
  <sheetViews>
    <sheetView tabSelected="1" topLeftCell="A131" workbookViewId="0">
      <selection activeCell="B11" sqref="B11"/>
    </sheetView>
  </sheetViews>
  <sheetFormatPr baseColWidth="10" defaultRowHeight="15" x14ac:dyDescent="0.25"/>
  <cols>
    <col min="2" max="2" width="42.7109375" bestFit="1" customWidth="1"/>
    <col min="3" max="3" width="13.5703125" bestFit="1" customWidth="1"/>
    <col min="4" max="4" width="14" bestFit="1" customWidth="1"/>
    <col min="5" max="5" width="12.7109375" customWidth="1"/>
    <col min="6" max="6" width="12" bestFit="1" customWidth="1"/>
    <col min="7" max="12" width="12.7109375" bestFit="1" customWidth="1"/>
  </cols>
  <sheetData>
    <row r="1" spans="1:12" ht="45" x14ac:dyDescent="0.25">
      <c r="B1" s="3" t="s">
        <v>116</v>
      </c>
      <c r="C1" s="26" t="s">
        <v>89</v>
      </c>
      <c r="D1" s="26" t="s">
        <v>88</v>
      </c>
      <c r="E1" s="26" t="s">
        <v>107</v>
      </c>
    </row>
    <row r="2" spans="1:12" x14ac:dyDescent="0.25">
      <c r="B2" t="s">
        <v>84</v>
      </c>
      <c r="C2" s="16">
        <v>-0.1</v>
      </c>
      <c r="D2">
        <v>-0.25</v>
      </c>
      <c r="E2" t="s">
        <v>104</v>
      </c>
    </row>
    <row r="3" spans="1:12" x14ac:dyDescent="0.25">
      <c r="A3" s="3" t="s">
        <v>90</v>
      </c>
      <c r="B3" t="s">
        <v>85</v>
      </c>
      <c r="C3" s="16">
        <v>0</v>
      </c>
      <c r="D3">
        <v>0</v>
      </c>
      <c r="E3" t="s">
        <v>105</v>
      </c>
    </row>
    <row r="4" spans="1:12" x14ac:dyDescent="0.25">
      <c r="B4" t="s">
        <v>86</v>
      </c>
      <c r="C4" s="16">
        <v>0.1</v>
      </c>
      <c r="D4">
        <v>0.25</v>
      </c>
      <c r="E4" t="s">
        <v>106</v>
      </c>
    </row>
    <row r="5" spans="1:12" x14ac:dyDescent="0.25">
      <c r="B5" t="s">
        <v>87</v>
      </c>
      <c r="C5" s="16">
        <v>0.2</v>
      </c>
      <c r="D5">
        <v>0.5</v>
      </c>
      <c r="E5" t="s">
        <v>106</v>
      </c>
    </row>
    <row r="9" spans="1:12" ht="60" x14ac:dyDescent="0.25">
      <c r="B9" s="3" t="s">
        <v>83</v>
      </c>
      <c r="C9" s="18" t="s">
        <v>108</v>
      </c>
    </row>
    <row r="10" spans="1:12" x14ac:dyDescent="0.25">
      <c r="B10" s="5" t="s">
        <v>85</v>
      </c>
      <c r="C10" s="21">
        <f>IF($B$10="A",(1+C$2), IF($B$10="B",(1+C$3),IF($B$10="C",(1+C$4),(1+C$5))))</f>
        <v>1</v>
      </c>
      <c r="D10" t="s">
        <v>109</v>
      </c>
      <c r="E10" t="s">
        <v>109</v>
      </c>
    </row>
    <row r="15" spans="1:12" x14ac:dyDescent="0.25">
      <c r="B15" s="3" t="s">
        <v>26</v>
      </c>
      <c r="C15" s="3">
        <v>1</v>
      </c>
      <c r="D15" s="3">
        <v>2</v>
      </c>
      <c r="E15" s="3">
        <v>3</v>
      </c>
      <c r="F15" s="3">
        <v>4</v>
      </c>
      <c r="G15" s="3">
        <v>5</v>
      </c>
      <c r="H15" s="3">
        <v>6</v>
      </c>
      <c r="I15" s="3">
        <v>7</v>
      </c>
      <c r="J15" s="3">
        <v>8</v>
      </c>
      <c r="K15" s="3">
        <v>9</v>
      </c>
      <c r="L15" s="3">
        <v>10</v>
      </c>
    </row>
    <row r="17" spans="1:12" x14ac:dyDescent="0.25">
      <c r="B17" s="3" t="s">
        <v>20</v>
      </c>
    </row>
    <row r="18" spans="1:12" x14ac:dyDescent="0.25">
      <c r="B18" t="s">
        <v>101</v>
      </c>
      <c r="C18" s="5">
        <v>85</v>
      </c>
      <c r="D18" s="5">
        <v>65</v>
      </c>
      <c r="E18" s="5">
        <v>45</v>
      </c>
      <c r="F18" s="5">
        <v>25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</row>
    <row r="19" spans="1:12" x14ac:dyDescent="0.25">
      <c r="B19" t="s">
        <v>102</v>
      </c>
      <c r="C19" s="5">
        <v>135</v>
      </c>
      <c r="D19" s="5">
        <v>115</v>
      </c>
      <c r="E19" s="5">
        <v>95</v>
      </c>
      <c r="F19" s="5">
        <v>75</v>
      </c>
      <c r="G19" s="5">
        <v>55</v>
      </c>
      <c r="H19" s="5">
        <v>35</v>
      </c>
      <c r="I19" s="5">
        <v>15</v>
      </c>
      <c r="J19" s="5">
        <v>0</v>
      </c>
      <c r="K19" s="5">
        <v>0</v>
      </c>
      <c r="L19" s="5">
        <v>0</v>
      </c>
    </row>
    <row r="20" spans="1:12" x14ac:dyDescent="0.25">
      <c r="B20" t="s">
        <v>21</v>
      </c>
      <c r="E20">
        <f>E42</f>
        <v>7</v>
      </c>
      <c r="F20">
        <f>E20+F42</f>
        <v>37</v>
      </c>
      <c r="G20">
        <f>F20+G42</f>
        <v>77</v>
      </c>
      <c r="H20">
        <f>G20+H42</f>
        <v>117</v>
      </c>
      <c r="I20">
        <f>H20+I42</f>
        <v>157</v>
      </c>
      <c r="J20">
        <f>I20+J42</f>
        <v>197</v>
      </c>
      <c r="K20">
        <f>J20+K42</f>
        <v>237</v>
      </c>
      <c r="L20">
        <f>K20+L42</f>
        <v>277</v>
      </c>
    </row>
    <row r="21" spans="1:12" x14ac:dyDescent="0.25">
      <c r="B21" s="3" t="s">
        <v>14</v>
      </c>
      <c r="C21" s="3">
        <f>SUM(C18:C20)</f>
        <v>220</v>
      </c>
      <c r="D21" s="3">
        <f t="shared" ref="D21:L21" si="0">SUM(D18:D20)</f>
        <v>180</v>
      </c>
      <c r="E21" s="3">
        <f t="shared" si="0"/>
        <v>147</v>
      </c>
      <c r="F21" s="3">
        <f t="shared" si="0"/>
        <v>137</v>
      </c>
      <c r="G21" s="3">
        <f t="shared" si="0"/>
        <v>132</v>
      </c>
      <c r="H21" s="3">
        <f t="shared" si="0"/>
        <v>152</v>
      </c>
      <c r="I21" s="3">
        <f t="shared" si="0"/>
        <v>172</v>
      </c>
      <c r="J21" s="3">
        <f t="shared" si="0"/>
        <v>197</v>
      </c>
      <c r="K21" s="3">
        <f t="shared" si="0"/>
        <v>237</v>
      </c>
      <c r="L21" s="3">
        <f t="shared" si="0"/>
        <v>277</v>
      </c>
    </row>
    <row r="22" spans="1:12" x14ac:dyDescent="0.25">
      <c r="B22" s="24" t="s">
        <v>103</v>
      </c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2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25">
      <c r="A24" t="s">
        <v>116</v>
      </c>
      <c r="B24" s="3" t="s">
        <v>115</v>
      </c>
      <c r="C24" s="3">
        <v>1</v>
      </c>
      <c r="D24" s="3">
        <v>2</v>
      </c>
      <c r="E24" s="3">
        <v>3</v>
      </c>
      <c r="F24" s="3">
        <v>4</v>
      </c>
      <c r="G24" s="3">
        <v>5</v>
      </c>
      <c r="H24" s="3">
        <v>6</v>
      </c>
      <c r="I24" s="3">
        <v>7</v>
      </c>
      <c r="J24" s="3">
        <v>8</v>
      </c>
      <c r="K24" s="3">
        <v>9</v>
      </c>
      <c r="L24" s="3">
        <v>10</v>
      </c>
    </row>
    <row r="25" spans="1:12" x14ac:dyDescent="0.25">
      <c r="A25" t="s">
        <v>84</v>
      </c>
      <c r="B25" s="20" t="s">
        <v>96</v>
      </c>
      <c r="C25" s="19">
        <v>0</v>
      </c>
      <c r="D25" s="19">
        <v>0</v>
      </c>
      <c r="E25" s="19">
        <v>14</v>
      </c>
      <c r="F25" s="19">
        <v>32</v>
      </c>
      <c r="G25" s="19">
        <v>40</v>
      </c>
      <c r="H25" s="19">
        <v>40</v>
      </c>
      <c r="I25" s="19">
        <v>40</v>
      </c>
      <c r="J25" s="19">
        <v>40</v>
      </c>
      <c r="K25" s="19">
        <v>40</v>
      </c>
      <c r="L25" s="19">
        <v>40</v>
      </c>
    </row>
    <row r="26" spans="1:12" x14ac:dyDescent="0.25">
      <c r="A26" t="s">
        <v>85</v>
      </c>
      <c r="B26" s="14" t="s">
        <v>91</v>
      </c>
      <c r="C26" s="19">
        <v>0</v>
      </c>
      <c r="D26" s="19">
        <v>0</v>
      </c>
      <c r="E26" s="19">
        <v>7</v>
      </c>
      <c r="F26" s="19">
        <v>30</v>
      </c>
      <c r="G26" s="19">
        <v>40</v>
      </c>
      <c r="H26" s="19">
        <v>40</v>
      </c>
      <c r="I26" s="19">
        <v>40</v>
      </c>
      <c r="J26" s="19">
        <v>40</v>
      </c>
      <c r="K26" s="19">
        <v>40</v>
      </c>
      <c r="L26" s="19">
        <v>40</v>
      </c>
    </row>
    <row r="27" spans="1:12" x14ac:dyDescent="0.25">
      <c r="A27" t="s">
        <v>86</v>
      </c>
      <c r="B27" s="20" t="s">
        <v>95</v>
      </c>
      <c r="C27" s="19">
        <v>0</v>
      </c>
      <c r="D27" s="19">
        <v>0</v>
      </c>
      <c r="E27" s="19">
        <v>0</v>
      </c>
      <c r="F27" s="19">
        <v>30</v>
      </c>
      <c r="G27" s="19">
        <v>40</v>
      </c>
      <c r="H27" s="19">
        <v>40</v>
      </c>
      <c r="I27" s="19">
        <v>40</v>
      </c>
      <c r="J27" s="19">
        <v>40</v>
      </c>
      <c r="K27" s="19">
        <v>40</v>
      </c>
      <c r="L27" s="19">
        <v>40</v>
      </c>
    </row>
    <row r="28" spans="1:12" x14ac:dyDescent="0.25">
      <c r="A28" t="s">
        <v>87</v>
      </c>
      <c r="B28" s="20" t="s">
        <v>97</v>
      </c>
      <c r="C28" s="19">
        <v>0</v>
      </c>
      <c r="D28" s="19">
        <v>0</v>
      </c>
      <c r="E28" s="19">
        <v>0</v>
      </c>
      <c r="F28" s="19">
        <v>23</v>
      </c>
      <c r="G28" s="19">
        <v>40</v>
      </c>
      <c r="H28" s="19">
        <v>40</v>
      </c>
      <c r="I28" s="19">
        <v>40</v>
      </c>
      <c r="J28" s="19">
        <v>40</v>
      </c>
      <c r="K28" s="19">
        <v>40</v>
      </c>
      <c r="L28" s="19">
        <v>40</v>
      </c>
    </row>
    <row r="29" spans="1:12" x14ac:dyDescent="0.25">
      <c r="B29" s="3" t="s">
        <v>98</v>
      </c>
      <c r="C29" s="3">
        <f>IF($B$10="A",C25, IF($B$10="B",C26,IF($B$10="C",C27,C28)))</f>
        <v>0</v>
      </c>
      <c r="D29" s="3">
        <f>IF($B$10="A",D25, IF($B$10="B",D26,IF($B$10="C",D27,D28)))</f>
        <v>0</v>
      </c>
      <c r="E29" s="3">
        <f>IF($B$10="A",E25, IF($B$10="B",E26,IF($B$10="C",E27,E28)))</f>
        <v>7</v>
      </c>
      <c r="F29" s="3">
        <f>IF($B$10="A",F25, IF($B$10="B",F26,IF($B$10="C",F27,F28)))</f>
        <v>30</v>
      </c>
      <c r="G29" s="3">
        <f>IF($B$10="A",G25, IF($B$10="B",G26,IF($B$10="C",G27,G28)))</f>
        <v>40</v>
      </c>
      <c r="H29" s="3">
        <f>IF($B$10="A",H25, IF($B$10="B",H26,IF($B$10="C",H27,H28)))</f>
        <v>40</v>
      </c>
      <c r="I29" s="3">
        <f>IF($B$10="A",I25, IF($B$10="B",I26,IF($B$10="C",I27,I28)))</f>
        <v>40</v>
      </c>
      <c r="J29" s="3">
        <f>IF($B$10="A",J25, IF($B$10="B",J26,IF($B$10="C",J27,J28)))</f>
        <v>40</v>
      </c>
      <c r="K29" s="3">
        <f>IF($B$10="A",K25, IF($B$10="B",K26,IF($B$10="C",K27,K28)))</f>
        <v>40</v>
      </c>
      <c r="L29" s="3">
        <f>IF($B$10="A",L25, IF($B$10="B",L26,IF($B$10="C",L27,L28)))</f>
        <v>40</v>
      </c>
    </row>
    <row r="30" spans="1:12" x14ac:dyDescent="0.25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25">
      <c r="A31" t="s">
        <v>116</v>
      </c>
      <c r="B31" s="3" t="s">
        <v>67</v>
      </c>
      <c r="C31" s="3">
        <v>1</v>
      </c>
      <c r="D31" s="3">
        <v>2</v>
      </c>
      <c r="E31" s="3">
        <v>3</v>
      </c>
      <c r="F31" s="3">
        <v>4</v>
      </c>
      <c r="G31" s="3">
        <v>5</v>
      </c>
      <c r="H31" s="3">
        <v>6</v>
      </c>
      <c r="I31" s="3">
        <v>7</v>
      </c>
      <c r="J31" s="3">
        <v>8</v>
      </c>
      <c r="K31" s="3">
        <v>9</v>
      </c>
      <c r="L31" s="3">
        <v>10</v>
      </c>
    </row>
    <row r="32" spans="1:12" x14ac:dyDescent="0.25">
      <c r="A32" t="s">
        <v>84</v>
      </c>
      <c r="B32" s="14" t="s">
        <v>92</v>
      </c>
      <c r="C32" s="19">
        <v>0</v>
      </c>
      <c r="D32" s="19">
        <v>0</v>
      </c>
      <c r="E32" s="19">
        <v>10</v>
      </c>
      <c r="F32" s="19">
        <v>20</v>
      </c>
      <c r="G32" s="19">
        <v>20</v>
      </c>
      <c r="H32" s="19">
        <v>10</v>
      </c>
      <c r="I32" s="19">
        <v>10</v>
      </c>
      <c r="J32" s="19">
        <v>5</v>
      </c>
      <c r="K32" s="19">
        <v>0</v>
      </c>
      <c r="L32" s="19">
        <v>0</v>
      </c>
    </row>
    <row r="33" spans="1:13" x14ac:dyDescent="0.25">
      <c r="A33" t="s">
        <v>85</v>
      </c>
      <c r="B33" s="14" t="s">
        <v>68</v>
      </c>
      <c r="C33" s="19">
        <v>0</v>
      </c>
      <c r="D33" s="19">
        <v>0</v>
      </c>
      <c r="E33" s="19">
        <v>5</v>
      </c>
      <c r="F33" s="19">
        <v>10</v>
      </c>
      <c r="G33" s="19">
        <v>10</v>
      </c>
      <c r="H33" s="19">
        <v>10</v>
      </c>
      <c r="I33" s="19">
        <v>5</v>
      </c>
      <c r="J33" s="19">
        <v>5</v>
      </c>
      <c r="K33" s="19">
        <v>0</v>
      </c>
      <c r="L33" s="19">
        <v>0</v>
      </c>
    </row>
    <row r="34" spans="1:13" x14ac:dyDescent="0.25">
      <c r="A34" t="s">
        <v>86</v>
      </c>
      <c r="B34" s="14" t="s">
        <v>93</v>
      </c>
      <c r="C34" s="19">
        <v>0</v>
      </c>
      <c r="D34" s="19">
        <v>0</v>
      </c>
      <c r="E34" s="19">
        <v>0</v>
      </c>
      <c r="F34" s="19">
        <v>5</v>
      </c>
      <c r="G34" s="19">
        <v>5</v>
      </c>
      <c r="H34" s="19">
        <v>5</v>
      </c>
      <c r="I34" s="19">
        <v>5</v>
      </c>
      <c r="J34" s="19">
        <v>5</v>
      </c>
      <c r="K34" s="19">
        <v>0</v>
      </c>
      <c r="L34" s="19">
        <v>0</v>
      </c>
    </row>
    <row r="35" spans="1:13" x14ac:dyDescent="0.25">
      <c r="A35" t="s">
        <v>87</v>
      </c>
      <c r="B35" s="14" t="s">
        <v>94</v>
      </c>
      <c r="C35" s="19">
        <v>0</v>
      </c>
      <c r="D35" s="19">
        <v>0</v>
      </c>
      <c r="E35" s="19">
        <v>0</v>
      </c>
      <c r="F35" s="19">
        <v>4</v>
      </c>
      <c r="G35" s="19">
        <v>5</v>
      </c>
      <c r="H35" s="19">
        <v>5</v>
      </c>
      <c r="I35" s="19">
        <v>5</v>
      </c>
      <c r="J35" s="19">
        <v>5</v>
      </c>
      <c r="K35" s="19">
        <v>0</v>
      </c>
      <c r="L35" s="19">
        <v>0</v>
      </c>
    </row>
    <row r="36" spans="1:13" x14ac:dyDescent="0.25">
      <c r="B36" s="14" t="s">
        <v>99</v>
      </c>
      <c r="C36" s="14">
        <f>IF($B$10="A",C32, IF($B$10="B",C33,IF($B$10="C",C34,C35)))</f>
        <v>0</v>
      </c>
      <c r="D36" s="14">
        <f t="shared" ref="D36" si="1">IF($B$10="A",D32, IF($B$10="B",D33,IF($B$10="C",D34,D35)))</f>
        <v>0</v>
      </c>
      <c r="E36" s="14">
        <f t="shared" ref="E36" si="2">IF($B$10="A",E32, IF($B$10="B",E33,IF($B$10="C",E34,E35)))</f>
        <v>5</v>
      </c>
      <c r="F36" s="14">
        <f t="shared" ref="F36" si="3">IF($B$10="A",F32, IF($B$10="B",F33,IF($B$10="C",F34,F35)))</f>
        <v>10</v>
      </c>
      <c r="G36" s="14">
        <f t="shared" ref="G36" si="4">IF($B$10="A",G32, IF($B$10="B",G33,IF($B$10="C",G34,G35)))</f>
        <v>10</v>
      </c>
      <c r="H36" s="14">
        <f t="shared" ref="H36" si="5">IF($B$10="A",H32, IF($B$10="B",H33,IF($B$10="C",H34,H35)))</f>
        <v>10</v>
      </c>
      <c r="I36" s="14">
        <f>IF($B$10="A",I32, IF($B$10="B",I33,IF($B$10="C",I34,I35)))</f>
        <v>5</v>
      </c>
      <c r="J36" s="14">
        <f t="shared" ref="J36" si="6">IF($B$10="A",J32, IF($B$10="B",J33,IF($B$10="C",J34,J35)))</f>
        <v>5</v>
      </c>
      <c r="K36" s="14">
        <f t="shared" ref="K36" si="7">IF($B$10="A",K32, IF($B$10="B",K33,IF($B$10="C",K34,K35)))</f>
        <v>0</v>
      </c>
      <c r="L36" s="14">
        <f t="shared" ref="L36" si="8">IF($B$10="A",L32, IF($B$10="B",L33,IF($B$10="C",L34,L35)))</f>
        <v>0</v>
      </c>
    </row>
    <row r="37" spans="1:13" x14ac:dyDescent="0.25">
      <c r="B37" s="3" t="s">
        <v>67</v>
      </c>
      <c r="C37" s="3">
        <v>1</v>
      </c>
      <c r="D37" s="3">
        <v>2</v>
      </c>
      <c r="E37" s="3">
        <v>3</v>
      </c>
      <c r="F37" s="3">
        <v>4</v>
      </c>
      <c r="G37" s="3">
        <v>5</v>
      </c>
      <c r="H37" s="3">
        <v>6</v>
      </c>
      <c r="I37" s="3">
        <v>7</v>
      </c>
      <c r="J37" s="3">
        <v>8</v>
      </c>
      <c r="K37" s="3">
        <v>9</v>
      </c>
      <c r="L37" s="3">
        <v>10</v>
      </c>
    </row>
    <row r="38" spans="1:13" x14ac:dyDescent="0.25">
      <c r="A38" s="15">
        <f>1/6</f>
        <v>0.16666666666666666</v>
      </c>
      <c r="B38" s="14" t="s">
        <v>100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25">
        <f>E20*$A$38</f>
        <v>1.1666666666666665</v>
      </c>
      <c r="L38" s="25">
        <f>F20*$A$38</f>
        <v>6.1666666666666661</v>
      </c>
    </row>
    <row r="39" spans="1:13" x14ac:dyDescent="0.25">
      <c r="B39" s="3" t="s">
        <v>14</v>
      </c>
      <c r="C39" s="22">
        <f>SUM(C36:C38)-C37</f>
        <v>0</v>
      </c>
      <c r="D39" s="22">
        <f t="shared" ref="D39:L39" si="9">SUM(D36:D38)-D37</f>
        <v>0</v>
      </c>
      <c r="E39" s="22">
        <f t="shared" si="9"/>
        <v>5</v>
      </c>
      <c r="F39" s="22">
        <f t="shared" si="9"/>
        <v>10</v>
      </c>
      <c r="G39" s="22">
        <f t="shared" si="9"/>
        <v>10</v>
      </c>
      <c r="H39" s="22">
        <f t="shared" si="9"/>
        <v>10</v>
      </c>
      <c r="I39" s="22">
        <f t="shared" si="9"/>
        <v>5</v>
      </c>
      <c r="J39" s="22">
        <f t="shared" si="9"/>
        <v>5</v>
      </c>
      <c r="K39" s="22">
        <f t="shared" si="9"/>
        <v>1.1666666666666661</v>
      </c>
      <c r="L39" s="22">
        <f t="shared" si="9"/>
        <v>6.1666666666666643</v>
      </c>
    </row>
    <row r="40" spans="1:13" x14ac:dyDescent="0.25">
      <c r="B40" s="3"/>
    </row>
    <row r="41" spans="1:13" x14ac:dyDescent="0.25">
      <c r="B41" s="3" t="str">
        <f>"Used Sales Figures for Scenario: "&amp;B10</f>
        <v>Used Sales Figures for Scenario: B</v>
      </c>
    </row>
    <row r="42" spans="1:13" x14ac:dyDescent="0.25">
      <c r="B42" t="s">
        <v>69</v>
      </c>
      <c r="C42" s="21">
        <f>C29</f>
        <v>0</v>
      </c>
      <c r="D42" s="21">
        <f t="shared" ref="D42:L42" si="10">D29</f>
        <v>0</v>
      </c>
      <c r="E42" s="21">
        <f t="shared" si="10"/>
        <v>7</v>
      </c>
      <c r="F42" s="21">
        <f t="shared" si="10"/>
        <v>30</v>
      </c>
      <c r="G42" s="21">
        <f t="shared" si="10"/>
        <v>40</v>
      </c>
      <c r="H42" s="21">
        <f t="shared" si="10"/>
        <v>40</v>
      </c>
      <c r="I42" s="21">
        <f t="shared" si="10"/>
        <v>40</v>
      </c>
      <c r="J42" s="21">
        <f t="shared" si="10"/>
        <v>40</v>
      </c>
      <c r="K42" s="21">
        <f t="shared" si="10"/>
        <v>40</v>
      </c>
      <c r="L42" s="21">
        <f t="shared" si="10"/>
        <v>40</v>
      </c>
      <c r="M42" s="21"/>
    </row>
    <row r="43" spans="1:13" x14ac:dyDescent="0.25">
      <c r="A43" s="21"/>
      <c r="B43" t="s">
        <v>70</v>
      </c>
      <c r="C43" s="23">
        <f>C39</f>
        <v>0</v>
      </c>
      <c r="D43" s="23">
        <f t="shared" ref="D43:L43" si="11">D39</f>
        <v>0</v>
      </c>
      <c r="E43" s="23">
        <f t="shared" si="11"/>
        <v>5</v>
      </c>
      <c r="F43" s="23">
        <f t="shared" si="11"/>
        <v>10</v>
      </c>
      <c r="G43" s="23">
        <f t="shared" si="11"/>
        <v>10</v>
      </c>
      <c r="H43" s="23">
        <f t="shared" si="11"/>
        <v>10</v>
      </c>
      <c r="I43" s="23">
        <f t="shared" si="11"/>
        <v>5</v>
      </c>
      <c r="J43" s="23">
        <f t="shared" si="11"/>
        <v>5</v>
      </c>
      <c r="K43" s="23">
        <f t="shared" si="11"/>
        <v>1.1666666666666661</v>
      </c>
      <c r="L43" s="23">
        <f t="shared" si="11"/>
        <v>6.1666666666666643</v>
      </c>
      <c r="M43" s="21"/>
    </row>
    <row r="45" spans="1:13" x14ac:dyDescent="0.25">
      <c r="B45" s="3" t="s">
        <v>27</v>
      </c>
      <c r="C45" s="7"/>
      <c r="D45" s="1"/>
      <c r="E45" s="1"/>
      <c r="F45" s="1"/>
      <c r="G45" s="1"/>
      <c r="H45" s="1"/>
      <c r="I45" s="1"/>
      <c r="J45" s="1"/>
      <c r="K45" s="1"/>
      <c r="L45" s="1"/>
    </row>
    <row r="46" spans="1:13" x14ac:dyDescent="0.25">
      <c r="B46" t="s">
        <v>22</v>
      </c>
      <c r="C46" s="5">
        <v>3.5000000000000003E-2</v>
      </c>
      <c r="D46" s="5">
        <v>3.5000000000000003E-2</v>
      </c>
      <c r="E46" s="5">
        <v>3.5000000000000003E-2</v>
      </c>
      <c r="F46" s="5">
        <v>0.02</v>
      </c>
      <c r="G46" s="5">
        <v>0.02</v>
      </c>
      <c r="H46" s="5">
        <v>0.02</v>
      </c>
      <c r="I46" s="5">
        <v>0.02</v>
      </c>
      <c r="J46" s="5">
        <v>0.02</v>
      </c>
      <c r="K46" s="5">
        <v>0.02</v>
      </c>
      <c r="L46" s="5">
        <v>0.02</v>
      </c>
    </row>
    <row r="47" spans="1:13" x14ac:dyDescent="0.25">
      <c r="B47" t="s">
        <v>23</v>
      </c>
      <c r="C47" s="5">
        <v>1.4999999999999999E-2</v>
      </c>
      <c r="D47" s="5">
        <v>1.4999999999999999E-2</v>
      </c>
      <c r="E47" s="5">
        <v>1.4999999999999999E-2</v>
      </c>
      <c r="F47" s="5">
        <v>1.4999999999999999E-2</v>
      </c>
      <c r="G47" s="5">
        <v>1.4999999999999999E-2</v>
      </c>
      <c r="H47" s="5">
        <v>1.4999999999999999E-2</v>
      </c>
      <c r="I47" s="5">
        <v>1.4999999999999999E-2</v>
      </c>
      <c r="J47" s="5">
        <v>1.4999999999999999E-2</v>
      </c>
      <c r="K47" s="5">
        <v>1.4999999999999999E-2</v>
      </c>
      <c r="L47" s="5">
        <v>1.4999999999999999E-2</v>
      </c>
    </row>
    <row r="48" spans="1:13" x14ac:dyDescent="0.25">
      <c r="B48" t="s">
        <v>16</v>
      </c>
      <c r="C48" s="5">
        <v>0</v>
      </c>
      <c r="D48" s="5">
        <v>1.4999999999999999E-2</v>
      </c>
      <c r="E48" s="5">
        <v>1.4999999999999999E-2</v>
      </c>
      <c r="F48" s="5">
        <v>1.4999999999999999E-2</v>
      </c>
      <c r="G48" s="5">
        <v>1.4999999999999999E-2</v>
      </c>
      <c r="H48" s="5">
        <v>1.4999999999999999E-2</v>
      </c>
      <c r="I48" s="5">
        <v>1.4999999999999999E-2</v>
      </c>
      <c r="J48" s="5">
        <v>1.4999999999999999E-2</v>
      </c>
      <c r="K48" s="5">
        <v>1.4999999999999999E-2</v>
      </c>
      <c r="L48" s="5">
        <v>1.4999999999999999E-2</v>
      </c>
    </row>
    <row r="50" spans="2:12" x14ac:dyDescent="0.25">
      <c r="B50" s="3" t="s">
        <v>52</v>
      </c>
    </row>
    <row r="51" spans="2:12" x14ac:dyDescent="0.25">
      <c r="B51" t="s">
        <v>22</v>
      </c>
      <c r="C51">
        <v>1</v>
      </c>
      <c r="D51" s="8">
        <f>C51+D46</f>
        <v>1.0349999999999999</v>
      </c>
      <c r="E51" s="8">
        <f>D51*(1+E46)</f>
        <v>1.0712249999999999</v>
      </c>
      <c r="F51" s="8">
        <f t="shared" ref="F51:L51" si="12">E51*(1+F46)</f>
        <v>1.0926494999999998</v>
      </c>
      <c r="G51" s="8">
        <f t="shared" si="12"/>
        <v>1.1145024899999998</v>
      </c>
      <c r="H51" s="8">
        <f t="shared" si="12"/>
        <v>1.1367925397999998</v>
      </c>
      <c r="I51" s="8">
        <f t="shared" si="12"/>
        <v>1.1595283905959999</v>
      </c>
      <c r="J51" s="8">
        <f t="shared" si="12"/>
        <v>1.1827189584079199</v>
      </c>
      <c r="K51" s="8">
        <f t="shared" si="12"/>
        <v>1.2063733375760783</v>
      </c>
      <c r="L51" s="8">
        <f t="shared" si="12"/>
        <v>1.2305008043276</v>
      </c>
    </row>
    <row r="52" spans="2:12" x14ac:dyDescent="0.25">
      <c r="B52" t="s">
        <v>23</v>
      </c>
      <c r="C52">
        <v>1</v>
      </c>
      <c r="D52" s="8">
        <f t="shared" ref="D52:D53" si="13">C52+D47</f>
        <v>1.0149999999999999</v>
      </c>
      <c r="E52" s="8">
        <f t="shared" ref="E52:L53" si="14">D52*(1+E47)</f>
        <v>1.0302249999999997</v>
      </c>
      <c r="F52" s="8">
        <f t="shared" si="14"/>
        <v>1.0456783749999996</v>
      </c>
      <c r="G52" s="8">
        <f t="shared" si="14"/>
        <v>1.0613635506249994</v>
      </c>
      <c r="H52" s="8">
        <f t="shared" si="14"/>
        <v>1.0772840038843743</v>
      </c>
      <c r="I52" s="8">
        <f t="shared" si="14"/>
        <v>1.0934432639426397</v>
      </c>
      <c r="J52" s="8">
        <f t="shared" si="14"/>
        <v>1.1098449129017791</v>
      </c>
      <c r="K52" s="8">
        <f t="shared" si="14"/>
        <v>1.1264925865953057</v>
      </c>
      <c r="L52" s="8">
        <f t="shared" si="14"/>
        <v>1.1433899753942351</v>
      </c>
    </row>
    <row r="53" spans="2:12" x14ac:dyDescent="0.25">
      <c r="B53" t="s">
        <v>16</v>
      </c>
      <c r="C53">
        <v>1</v>
      </c>
      <c r="D53" s="8">
        <f t="shared" si="13"/>
        <v>1.0149999999999999</v>
      </c>
      <c r="E53" s="8">
        <f t="shared" si="14"/>
        <v>1.0302249999999997</v>
      </c>
      <c r="F53" s="8">
        <f t="shared" si="14"/>
        <v>1.0456783749999996</v>
      </c>
      <c r="G53" s="8">
        <f t="shared" si="14"/>
        <v>1.0613635506249994</v>
      </c>
      <c r="H53" s="8">
        <f t="shared" si="14"/>
        <v>1.0772840038843743</v>
      </c>
      <c r="I53" s="8">
        <f t="shared" si="14"/>
        <v>1.0934432639426397</v>
      </c>
      <c r="J53" s="8">
        <f t="shared" si="14"/>
        <v>1.1098449129017791</v>
      </c>
      <c r="K53" s="8">
        <f t="shared" si="14"/>
        <v>1.1264925865953057</v>
      </c>
      <c r="L53" s="8">
        <f t="shared" si="14"/>
        <v>1.1433899753942351</v>
      </c>
    </row>
    <row r="55" spans="2:12" x14ac:dyDescent="0.25">
      <c r="B55" s="3" t="s">
        <v>79</v>
      </c>
    </row>
    <row r="56" spans="2:12" x14ac:dyDescent="0.25">
      <c r="B56" s="3" t="s">
        <v>78</v>
      </c>
      <c r="C56" s="6">
        <f>6000000</f>
        <v>6000000</v>
      </c>
      <c r="D56" s="1">
        <f>C56*(1+C$46)</f>
        <v>6209999.9999999991</v>
      </c>
      <c r="E56" s="1">
        <f t="shared" ref="E56:L56" si="15">D56*(1+D$46)</f>
        <v>6427349.9999999981</v>
      </c>
      <c r="F56" s="1">
        <f t="shared" si="15"/>
        <v>6652307.2499999972</v>
      </c>
      <c r="G56" s="1">
        <f t="shared" si="15"/>
        <v>6785353.3949999977</v>
      </c>
      <c r="H56" s="1">
        <f t="shared" si="15"/>
        <v>6921060.4628999978</v>
      </c>
      <c r="I56" s="1">
        <f t="shared" si="15"/>
        <v>7059481.6721579982</v>
      </c>
      <c r="J56" s="1">
        <f t="shared" si="15"/>
        <v>7200671.3056011582</v>
      </c>
      <c r="K56" s="1">
        <f t="shared" si="15"/>
        <v>7344684.7317131814</v>
      </c>
      <c r="L56" s="1">
        <f t="shared" si="15"/>
        <v>7491578.4263474448</v>
      </c>
    </row>
    <row r="57" spans="2:12" x14ac:dyDescent="0.25">
      <c r="B57" s="14" t="s">
        <v>73</v>
      </c>
      <c r="C57" s="6">
        <v>250000</v>
      </c>
      <c r="D57" s="1">
        <f t="shared" ref="D57:L57" si="16">C57*(1+C$46)</f>
        <v>258749.99999999997</v>
      </c>
      <c r="E57" s="1">
        <f t="shared" si="16"/>
        <v>267806.24999999994</v>
      </c>
      <c r="F57" s="1">
        <f t="shared" si="16"/>
        <v>277179.46874999994</v>
      </c>
      <c r="G57" s="1">
        <f t="shared" si="16"/>
        <v>282723.05812499992</v>
      </c>
      <c r="H57" s="1">
        <f t="shared" si="16"/>
        <v>288377.51928749995</v>
      </c>
      <c r="I57" s="1">
        <f t="shared" si="16"/>
        <v>294145.06967324996</v>
      </c>
      <c r="J57" s="1">
        <f t="shared" si="16"/>
        <v>300027.97106671496</v>
      </c>
      <c r="K57" s="1">
        <f t="shared" si="16"/>
        <v>306028.53048804926</v>
      </c>
      <c r="L57" s="1">
        <f t="shared" si="16"/>
        <v>312149.10109781026</v>
      </c>
    </row>
    <row r="58" spans="2:12" x14ac:dyDescent="0.25">
      <c r="B58" s="14" t="s">
        <v>74</v>
      </c>
      <c r="C58" s="6">
        <v>50000</v>
      </c>
      <c r="D58" s="1">
        <f t="shared" ref="D58:L58" si="17">C58*(1+C$46)</f>
        <v>51749.999999999993</v>
      </c>
      <c r="E58" s="1">
        <f t="shared" si="17"/>
        <v>53561.249999999985</v>
      </c>
      <c r="F58" s="1">
        <f t="shared" si="17"/>
        <v>55435.893749999981</v>
      </c>
      <c r="G58" s="1">
        <f t="shared" si="17"/>
        <v>56544.611624999983</v>
      </c>
      <c r="H58" s="1">
        <f t="shared" si="17"/>
        <v>57675.503857499985</v>
      </c>
      <c r="I58" s="1">
        <f t="shared" si="17"/>
        <v>58829.013934649985</v>
      </c>
      <c r="J58" s="1">
        <f t="shared" si="17"/>
        <v>60005.594213342985</v>
      </c>
      <c r="K58" s="1">
        <f t="shared" si="17"/>
        <v>61205.706097609844</v>
      </c>
      <c r="L58" s="1">
        <f t="shared" si="17"/>
        <v>62429.82021956204</v>
      </c>
    </row>
    <row r="59" spans="2:12" x14ac:dyDescent="0.25">
      <c r="B59" s="14" t="s">
        <v>44</v>
      </c>
      <c r="C59" s="6">
        <v>100000</v>
      </c>
      <c r="D59" s="1">
        <f t="shared" ref="D59:L59" si="18">C59*(1+C$46)</f>
        <v>103499.99999999999</v>
      </c>
      <c r="E59" s="1">
        <f t="shared" si="18"/>
        <v>107122.49999999997</v>
      </c>
      <c r="F59" s="1">
        <f t="shared" si="18"/>
        <v>110871.78749999996</v>
      </c>
      <c r="G59" s="1">
        <f t="shared" si="18"/>
        <v>113089.22324999997</v>
      </c>
      <c r="H59" s="1">
        <f t="shared" si="18"/>
        <v>115351.00771499997</v>
      </c>
      <c r="I59" s="1">
        <f t="shared" si="18"/>
        <v>117658.02786929997</v>
      </c>
      <c r="J59" s="1">
        <f t="shared" si="18"/>
        <v>120011.18842668597</v>
      </c>
      <c r="K59" s="1">
        <f t="shared" si="18"/>
        <v>122411.41219521969</v>
      </c>
      <c r="L59" s="1">
        <f t="shared" si="18"/>
        <v>124859.64043912408</v>
      </c>
    </row>
    <row r="60" spans="2:12" x14ac:dyDescent="0.25">
      <c r="B60" s="14" t="s">
        <v>75</v>
      </c>
      <c r="C60" s="6">
        <v>40000</v>
      </c>
      <c r="D60" s="1">
        <f t="shared" ref="D60:L60" si="19">C60*(1+C$46)</f>
        <v>41400</v>
      </c>
      <c r="E60" s="1">
        <f t="shared" si="19"/>
        <v>42849</v>
      </c>
      <c r="F60" s="1">
        <f t="shared" si="19"/>
        <v>44348.714999999997</v>
      </c>
      <c r="G60" s="1">
        <f t="shared" si="19"/>
        <v>45235.689299999998</v>
      </c>
      <c r="H60" s="1">
        <f t="shared" si="19"/>
        <v>46140.403085999998</v>
      </c>
      <c r="I60" s="1">
        <f t="shared" si="19"/>
        <v>47063.211147720001</v>
      </c>
      <c r="J60" s="1">
        <f t="shared" si="19"/>
        <v>48004.475370674401</v>
      </c>
      <c r="K60" s="1">
        <f t="shared" si="19"/>
        <v>48964.564878087891</v>
      </c>
      <c r="L60" s="1">
        <f t="shared" si="19"/>
        <v>49943.856175649649</v>
      </c>
    </row>
    <row r="61" spans="2:12" x14ac:dyDescent="0.25">
      <c r="B61" s="14" t="s">
        <v>76</v>
      </c>
      <c r="C61" s="6">
        <v>40000</v>
      </c>
      <c r="D61" s="1">
        <f t="shared" ref="D61:L61" si="20">C61*(1+C$46)</f>
        <v>41400</v>
      </c>
      <c r="E61" s="1">
        <f t="shared" si="20"/>
        <v>42849</v>
      </c>
      <c r="F61" s="1">
        <f t="shared" si="20"/>
        <v>44348.714999999997</v>
      </c>
      <c r="G61" s="1">
        <f t="shared" si="20"/>
        <v>45235.689299999998</v>
      </c>
      <c r="H61" s="1">
        <f t="shared" si="20"/>
        <v>46140.403085999998</v>
      </c>
      <c r="I61" s="1">
        <f t="shared" si="20"/>
        <v>47063.211147720001</v>
      </c>
      <c r="J61" s="1">
        <f t="shared" si="20"/>
        <v>48004.475370674401</v>
      </c>
      <c r="K61" s="1">
        <f t="shared" si="20"/>
        <v>48964.564878087891</v>
      </c>
      <c r="L61" s="1">
        <f t="shared" si="20"/>
        <v>49943.856175649649</v>
      </c>
    </row>
    <row r="62" spans="2:12" x14ac:dyDescent="0.25">
      <c r="B62" s="14" t="s">
        <v>77</v>
      </c>
      <c r="C62" s="6">
        <v>100000</v>
      </c>
      <c r="D62" s="1">
        <f t="shared" ref="D62:L62" si="21">C62*(1+C$46)</f>
        <v>103499.99999999999</v>
      </c>
      <c r="E62" s="1">
        <f t="shared" si="21"/>
        <v>107122.49999999997</v>
      </c>
      <c r="F62" s="1">
        <f t="shared" si="21"/>
        <v>110871.78749999996</v>
      </c>
      <c r="G62" s="1">
        <f t="shared" si="21"/>
        <v>113089.22324999997</v>
      </c>
      <c r="H62" s="1">
        <f t="shared" si="21"/>
        <v>115351.00771499997</v>
      </c>
      <c r="I62" s="1">
        <f t="shared" si="21"/>
        <v>117658.02786929997</v>
      </c>
      <c r="J62" s="1">
        <f t="shared" si="21"/>
        <v>120011.18842668597</v>
      </c>
      <c r="K62" s="1">
        <f t="shared" si="21"/>
        <v>122411.41219521969</v>
      </c>
      <c r="L62" s="1">
        <f t="shared" si="21"/>
        <v>124859.64043912408</v>
      </c>
    </row>
    <row r="63" spans="2:12" x14ac:dyDescent="0.25">
      <c r="B63" s="3" t="s">
        <v>82</v>
      </c>
      <c r="C63" s="1">
        <f>SUM(C57:C62)</f>
        <v>580000</v>
      </c>
      <c r="D63" s="1">
        <f t="shared" ref="D63:L63" si="22">SUM(D57:D62)</f>
        <v>600299.99999999988</v>
      </c>
      <c r="E63" s="1">
        <f t="shared" si="22"/>
        <v>621310.49999999988</v>
      </c>
      <c r="F63" s="1">
        <f t="shared" si="22"/>
        <v>643056.36749999982</v>
      </c>
      <c r="G63" s="1">
        <f t="shared" si="22"/>
        <v>655917.49484999978</v>
      </c>
      <c r="H63" s="1">
        <f t="shared" si="22"/>
        <v>669035.84474699979</v>
      </c>
      <c r="I63" s="1">
        <f t="shared" si="22"/>
        <v>682416.56164193992</v>
      </c>
      <c r="J63" s="1">
        <f t="shared" si="22"/>
        <v>696064.89287477871</v>
      </c>
      <c r="K63" s="1">
        <f t="shared" si="22"/>
        <v>709986.19073227409</v>
      </c>
      <c r="L63" s="1">
        <f t="shared" si="22"/>
        <v>724185.91454691975</v>
      </c>
    </row>
    <row r="64" spans="2:12" x14ac:dyDescent="0.25">
      <c r="B64" s="3"/>
      <c r="C64" s="7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B65" s="3" t="s">
        <v>80</v>
      </c>
      <c r="C65" s="7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B66" s="3" t="s">
        <v>78</v>
      </c>
      <c r="C66" s="27">
        <f>-3099000*$C$10</f>
        <v>-3099000</v>
      </c>
      <c r="D66" s="17">
        <f>C66*(1+D47)</f>
        <v>-3145484.9999999995</v>
      </c>
      <c r="E66" s="17">
        <f>D66*(1+E47)</f>
        <v>-3192667.2749999994</v>
      </c>
      <c r="F66" s="17">
        <f>E66*(1+F47)</f>
        <v>-3240557.2841249993</v>
      </c>
      <c r="G66" s="17">
        <f>F66*(1+G47)</f>
        <v>-3289165.6433868739</v>
      </c>
      <c r="H66" s="17">
        <f>G66*(1+H47)</f>
        <v>-3338503.1280376767</v>
      </c>
      <c r="I66" s="17">
        <f>H66*(1+I47)</f>
        <v>-3388580.6749582416</v>
      </c>
      <c r="J66" s="17">
        <f>I66*(1+J47)</f>
        <v>-3439409.3850826151</v>
      </c>
      <c r="K66" s="17">
        <f>J66*(1+K47)</f>
        <v>-3491000.5258588539</v>
      </c>
      <c r="L66" s="17">
        <f>K66*(1+L47)</f>
        <v>-3543365.5337467366</v>
      </c>
    </row>
    <row r="67" spans="1:12" x14ac:dyDescent="0.25">
      <c r="A67" s="16">
        <v>0.5</v>
      </c>
      <c r="B67" s="3" t="s">
        <v>73</v>
      </c>
      <c r="C67" s="27">
        <f>$A67*C57*$C$10</f>
        <v>125000</v>
      </c>
      <c r="D67" s="27">
        <f>$A67*D57*$C$10</f>
        <v>129374.99999999999</v>
      </c>
      <c r="E67" s="27">
        <f>$A67*E57*$C$10</f>
        <v>133903.12499999997</v>
      </c>
      <c r="F67" s="27">
        <f>$A67*F57*$C$10</f>
        <v>138589.73437499997</v>
      </c>
      <c r="G67" s="27">
        <f>$A67*G57*$C$10</f>
        <v>141361.52906249996</v>
      </c>
      <c r="H67" s="27">
        <f>$A67*H57*$C$10</f>
        <v>144188.75964374997</v>
      </c>
      <c r="I67" s="27">
        <f>$A67*I57*$C$10</f>
        <v>147072.53483662498</v>
      </c>
      <c r="J67" s="27">
        <f>$A67*J57*$C$10</f>
        <v>150013.98553335748</v>
      </c>
      <c r="K67" s="27">
        <f>$A67*K57*$C$10</f>
        <v>153014.26524402463</v>
      </c>
      <c r="L67" s="27">
        <f>$A67*L57*$C$10</f>
        <v>156074.55054890513</v>
      </c>
    </row>
    <row r="68" spans="1:12" x14ac:dyDescent="0.25">
      <c r="A68" s="16">
        <v>0.5</v>
      </c>
      <c r="B68" s="3" t="s">
        <v>74</v>
      </c>
      <c r="C68" s="27">
        <f t="shared" ref="C68:L72" si="23">$A68*C58*$C$10</f>
        <v>25000</v>
      </c>
      <c r="D68" s="27">
        <f t="shared" si="23"/>
        <v>25874.999999999996</v>
      </c>
      <c r="E68" s="27">
        <f t="shared" si="23"/>
        <v>26780.624999999993</v>
      </c>
      <c r="F68" s="27">
        <f t="shared" si="23"/>
        <v>27717.946874999991</v>
      </c>
      <c r="G68" s="27">
        <f t="shared" si="23"/>
        <v>28272.305812499992</v>
      </c>
      <c r="H68" s="27">
        <f t="shared" si="23"/>
        <v>28837.751928749993</v>
      </c>
      <c r="I68" s="27">
        <f t="shared" si="23"/>
        <v>29414.506967324993</v>
      </c>
      <c r="J68" s="27">
        <f t="shared" si="23"/>
        <v>30002.797106671493</v>
      </c>
      <c r="K68" s="27">
        <f t="shared" si="23"/>
        <v>30602.853048804922</v>
      </c>
      <c r="L68" s="27">
        <f t="shared" si="23"/>
        <v>31214.91010978102</v>
      </c>
    </row>
    <row r="69" spans="1:12" x14ac:dyDescent="0.25">
      <c r="A69" s="16">
        <v>0.5</v>
      </c>
      <c r="B69" s="3" t="s">
        <v>44</v>
      </c>
      <c r="C69" s="27">
        <f t="shared" si="23"/>
        <v>50000</v>
      </c>
      <c r="D69" s="27">
        <f t="shared" si="23"/>
        <v>51749.999999999993</v>
      </c>
      <c r="E69" s="27">
        <f t="shared" si="23"/>
        <v>53561.249999999985</v>
      </c>
      <c r="F69" s="27">
        <f t="shared" si="23"/>
        <v>55435.893749999981</v>
      </c>
      <c r="G69" s="27">
        <f t="shared" si="23"/>
        <v>56544.611624999983</v>
      </c>
      <c r="H69" s="27">
        <f t="shared" si="23"/>
        <v>57675.503857499985</v>
      </c>
      <c r="I69" s="27">
        <f t="shared" si="23"/>
        <v>58829.013934649985</v>
      </c>
      <c r="J69" s="27">
        <f t="shared" si="23"/>
        <v>60005.594213342985</v>
      </c>
      <c r="K69" s="27">
        <f t="shared" si="23"/>
        <v>61205.706097609844</v>
      </c>
      <c r="L69" s="27">
        <f t="shared" si="23"/>
        <v>62429.82021956204</v>
      </c>
    </row>
    <row r="70" spans="1:12" x14ac:dyDescent="0.25">
      <c r="A70" s="16">
        <v>0.5</v>
      </c>
      <c r="B70" s="3" t="s">
        <v>75</v>
      </c>
      <c r="C70" s="27">
        <f t="shared" si="23"/>
        <v>20000</v>
      </c>
      <c r="D70" s="27">
        <f t="shared" si="23"/>
        <v>20700</v>
      </c>
      <c r="E70" s="27">
        <f t="shared" si="23"/>
        <v>21424.5</v>
      </c>
      <c r="F70" s="27">
        <f t="shared" si="23"/>
        <v>22174.357499999998</v>
      </c>
      <c r="G70" s="27">
        <f t="shared" si="23"/>
        <v>22617.844649999999</v>
      </c>
      <c r="H70" s="27">
        <f t="shared" si="23"/>
        <v>23070.201542999999</v>
      </c>
      <c r="I70" s="27">
        <f t="shared" si="23"/>
        <v>23531.605573860001</v>
      </c>
      <c r="J70" s="27">
        <f t="shared" si="23"/>
        <v>24002.237685337201</v>
      </c>
      <c r="K70" s="27">
        <f t="shared" si="23"/>
        <v>24482.282439043945</v>
      </c>
      <c r="L70" s="27">
        <f t="shared" si="23"/>
        <v>24971.928087824825</v>
      </c>
    </row>
    <row r="71" spans="1:12" x14ac:dyDescent="0.25">
      <c r="A71" s="16">
        <v>0.5</v>
      </c>
      <c r="B71" s="3" t="s">
        <v>76</v>
      </c>
      <c r="C71" s="27">
        <f t="shared" si="23"/>
        <v>20000</v>
      </c>
      <c r="D71" s="27">
        <f t="shared" si="23"/>
        <v>20700</v>
      </c>
      <c r="E71" s="27">
        <f t="shared" si="23"/>
        <v>21424.5</v>
      </c>
      <c r="F71" s="27">
        <f t="shared" si="23"/>
        <v>22174.357499999998</v>
      </c>
      <c r="G71" s="27">
        <f t="shared" si="23"/>
        <v>22617.844649999999</v>
      </c>
      <c r="H71" s="27">
        <f t="shared" si="23"/>
        <v>23070.201542999999</v>
      </c>
      <c r="I71" s="27">
        <f t="shared" si="23"/>
        <v>23531.605573860001</v>
      </c>
      <c r="J71" s="27">
        <f t="shared" si="23"/>
        <v>24002.237685337201</v>
      </c>
      <c r="K71" s="27">
        <f t="shared" si="23"/>
        <v>24482.282439043945</v>
      </c>
      <c r="L71" s="27">
        <f t="shared" si="23"/>
        <v>24971.928087824825</v>
      </c>
    </row>
    <row r="72" spans="1:12" x14ac:dyDescent="0.25">
      <c r="A72" s="16">
        <v>0.5</v>
      </c>
      <c r="B72" s="3" t="s">
        <v>77</v>
      </c>
      <c r="C72" s="27">
        <f t="shared" si="23"/>
        <v>50000</v>
      </c>
      <c r="D72" s="27">
        <f t="shared" si="23"/>
        <v>51749.999999999993</v>
      </c>
      <c r="E72" s="27">
        <f t="shared" si="23"/>
        <v>53561.249999999985</v>
      </c>
      <c r="F72" s="27">
        <f t="shared" si="23"/>
        <v>55435.893749999981</v>
      </c>
      <c r="G72" s="27">
        <f t="shared" si="23"/>
        <v>56544.611624999983</v>
      </c>
      <c r="H72" s="27">
        <f t="shared" si="23"/>
        <v>57675.503857499985</v>
      </c>
      <c r="I72" s="27">
        <f t="shared" si="23"/>
        <v>58829.013934649985</v>
      </c>
      <c r="J72" s="27">
        <f t="shared" si="23"/>
        <v>60005.594213342985</v>
      </c>
      <c r="K72" s="27">
        <f t="shared" si="23"/>
        <v>61205.706097609844</v>
      </c>
      <c r="L72" s="27">
        <f t="shared" si="23"/>
        <v>62429.82021956204</v>
      </c>
    </row>
    <row r="73" spans="1:12" x14ac:dyDescent="0.25">
      <c r="B73" s="3" t="s">
        <v>81</v>
      </c>
      <c r="C73" s="7">
        <f>SUM(C67:C72)</f>
        <v>290000</v>
      </c>
      <c r="D73" s="7">
        <f t="shared" ref="D73:L73" si="24">SUM(D67:D72)</f>
        <v>300149.99999999994</v>
      </c>
      <c r="E73" s="7">
        <f t="shared" si="24"/>
        <v>310655.24999999994</v>
      </c>
      <c r="F73" s="7">
        <f t="shared" si="24"/>
        <v>321528.18374999991</v>
      </c>
      <c r="G73" s="7">
        <f t="shared" si="24"/>
        <v>327958.74742499989</v>
      </c>
      <c r="H73" s="7">
        <f t="shared" si="24"/>
        <v>334517.9223734999</v>
      </c>
      <c r="I73" s="7">
        <f t="shared" si="24"/>
        <v>341208.28082096996</v>
      </c>
      <c r="J73" s="7">
        <f t="shared" si="24"/>
        <v>348032.44643738936</v>
      </c>
      <c r="K73" s="7">
        <f t="shared" si="24"/>
        <v>354993.09536613704</v>
      </c>
      <c r="L73" s="7">
        <f t="shared" si="24"/>
        <v>362092.95727345988</v>
      </c>
    </row>
    <row r="74" spans="1:12" x14ac:dyDescent="0.25">
      <c r="B74" s="3"/>
      <c r="C74" s="7"/>
      <c r="D74" s="17"/>
      <c r="E74" s="17"/>
      <c r="F74" s="17"/>
      <c r="G74" s="17"/>
      <c r="H74" s="17"/>
      <c r="I74" s="17"/>
      <c r="J74" s="17"/>
      <c r="K74" s="17"/>
      <c r="L74" s="17"/>
    </row>
    <row r="75" spans="1:12" x14ac:dyDescent="0.25">
      <c r="B75" s="3"/>
      <c r="C75" s="7"/>
      <c r="D75" s="17"/>
      <c r="E75" s="17"/>
      <c r="F75" s="17"/>
      <c r="G75" s="17"/>
      <c r="H75" s="17"/>
      <c r="I75" s="17"/>
      <c r="J75" s="17"/>
      <c r="K75" s="17"/>
      <c r="L75" s="17"/>
    </row>
    <row r="76" spans="1:12" x14ac:dyDescent="0.25">
      <c r="C76" s="7"/>
      <c r="D76" s="17"/>
      <c r="E76" s="17"/>
      <c r="F76" s="17"/>
      <c r="G76" s="17"/>
      <c r="H76" s="17"/>
      <c r="I76" s="17"/>
      <c r="J76" s="17"/>
      <c r="K76" s="17"/>
      <c r="L76" s="17"/>
    </row>
    <row r="77" spans="1:12" x14ac:dyDescent="0.25">
      <c r="B77" s="3" t="s">
        <v>0</v>
      </c>
    </row>
    <row r="78" spans="1:12" x14ac:dyDescent="0.25">
      <c r="B78" t="s">
        <v>25</v>
      </c>
      <c r="C78" s="2">
        <f>C56*C42</f>
        <v>0</v>
      </c>
      <c r="D78" s="2">
        <f t="shared" ref="D78:L78" si="25">D56*D42</f>
        <v>0</v>
      </c>
      <c r="E78" s="2">
        <f t="shared" si="25"/>
        <v>44991449.999999985</v>
      </c>
      <c r="F78" s="2">
        <f t="shared" si="25"/>
        <v>199569217.49999991</v>
      </c>
      <c r="G78" s="2">
        <f t="shared" si="25"/>
        <v>271414135.79999989</v>
      </c>
      <c r="H78" s="2">
        <f t="shared" si="25"/>
        <v>276842418.51599991</v>
      </c>
      <c r="I78" s="2">
        <f t="shared" si="25"/>
        <v>282379266.88631994</v>
      </c>
      <c r="J78" s="2">
        <f t="shared" si="25"/>
        <v>288026852.22404635</v>
      </c>
      <c r="K78" s="2">
        <f t="shared" si="25"/>
        <v>293787389.26852727</v>
      </c>
      <c r="L78" s="2">
        <f t="shared" si="25"/>
        <v>299663137.0538978</v>
      </c>
    </row>
    <row r="79" spans="1:12" x14ac:dyDescent="0.25">
      <c r="B79" t="s">
        <v>71</v>
      </c>
      <c r="C79" s="2">
        <f>C63*C43</f>
        <v>0</v>
      </c>
      <c r="D79" s="2">
        <f t="shared" ref="D79:L79" si="26">D63*D43</f>
        <v>0</v>
      </c>
      <c r="E79" s="2">
        <f t="shared" si="26"/>
        <v>3106552.4999999995</v>
      </c>
      <c r="F79" s="2">
        <f>F63*F43</f>
        <v>6430563.674999998</v>
      </c>
      <c r="G79" s="2">
        <f t="shared" si="26"/>
        <v>6559174.9484999981</v>
      </c>
      <c r="H79" s="2">
        <f t="shared" si="26"/>
        <v>6690358.4474699982</v>
      </c>
      <c r="I79" s="2">
        <f t="shared" si="26"/>
        <v>3412082.8082096996</v>
      </c>
      <c r="J79" s="2">
        <f t="shared" si="26"/>
        <v>3480324.4643738936</v>
      </c>
      <c r="K79" s="2">
        <f t="shared" si="26"/>
        <v>828317.22252098599</v>
      </c>
      <c r="L79" s="2">
        <f t="shared" si="26"/>
        <v>4465813.1397060035</v>
      </c>
    </row>
    <row r="81" spans="1:12" x14ac:dyDescent="0.25">
      <c r="B81" s="3" t="s">
        <v>28</v>
      </c>
    </row>
    <row r="82" spans="1:12" x14ac:dyDescent="0.25">
      <c r="B82" t="s">
        <v>33</v>
      </c>
      <c r="C82" s="2">
        <f>C42*C66</f>
        <v>0</v>
      </c>
      <c r="D82" s="2">
        <f>D42*D66</f>
        <v>0</v>
      </c>
      <c r="E82" s="2">
        <f>E42*E66</f>
        <v>-22348670.924999997</v>
      </c>
      <c r="F82" s="2">
        <f>F42*F66</f>
        <v>-97216718.523749977</v>
      </c>
      <c r="G82" s="2">
        <f>G42*G66</f>
        <v>-131566625.73547496</v>
      </c>
      <c r="H82" s="2">
        <f>H42*H66</f>
        <v>-133540125.12150706</v>
      </c>
      <c r="I82" s="2">
        <f>I42*I66</f>
        <v>-135543226.99832967</v>
      </c>
      <c r="J82" s="2">
        <f>J42*J66</f>
        <v>-137576375.40330461</v>
      </c>
      <c r="K82" s="2">
        <f>K42*K66</f>
        <v>-139640021.03435415</v>
      </c>
      <c r="L82" s="2">
        <f>L42*L66</f>
        <v>-141734621.34986946</v>
      </c>
    </row>
    <row r="83" spans="1:12" x14ac:dyDescent="0.25">
      <c r="A83" s="16">
        <v>0.5</v>
      </c>
      <c r="B83" t="s">
        <v>72</v>
      </c>
      <c r="C83" s="17">
        <f>-C79*$A83</f>
        <v>0</v>
      </c>
      <c r="D83" s="17">
        <f t="shared" ref="D83:L83" si="27">-D79*$A83</f>
        <v>0</v>
      </c>
      <c r="E83" s="17">
        <f t="shared" si="27"/>
        <v>-1553276.2499999998</v>
      </c>
      <c r="F83" s="17">
        <f t="shared" si="27"/>
        <v>-3215281.837499999</v>
      </c>
      <c r="G83" s="17">
        <f t="shared" si="27"/>
        <v>-3279587.474249999</v>
      </c>
      <c r="H83" s="17">
        <f t="shared" si="27"/>
        <v>-3345179.2237349991</v>
      </c>
      <c r="I83" s="17">
        <f t="shared" si="27"/>
        <v>-1706041.4041048498</v>
      </c>
      <c r="J83" s="17">
        <f t="shared" si="27"/>
        <v>-1740162.2321869468</v>
      </c>
      <c r="K83" s="17">
        <f t="shared" si="27"/>
        <v>-414158.61126049299</v>
      </c>
      <c r="L83" s="17">
        <f t="shared" si="27"/>
        <v>-2232906.5698530017</v>
      </c>
    </row>
    <row r="85" spans="1:12" x14ac:dyDescent="0.25">
      <c r="B85" s="3" t="s">
        <v>29</v>
      </c>
    </row>
    <row r="86" spans="1:12" x14ac:dyDescent="0.25">
      <c r="B86" t="s">
        <v>7</v>
      </c>
      <c r="C86" s="5">
        <v>7</v>
      </c>
      <c r="D86" s="5">
        <v>15</v>
      </c>
      <c r="E86" s="5">
        <v>20</v>
      </c>
      <c r="F86" s="5">
        <v>20</v>
      </c>
      <c r="G86" s="5">
        <v>20</v>
      </c>
      <c r="H86" s="5">
        <v>20</v>
      </c>
      <c r="I86" s="5">
        <v>20</v>
      </c>
      <c r="J86" s="5">
        <v>20</v>
      </c>
      <c r="K86" s="5">
        <v>20</v>
      </c>
      <c r="L86" s="5">
        <v>20</v>
      </c>
    </row>
    <row r="87" spans="1:12" x14ac:dyDescent="0.25">
      <c r="B87" t="s">
        <v>8</v>
      </c>
      <c r="C87" s="5">
        <v>2</v>
      </c>
      <c r="D87" s="5">
        <v>5</v>
      </c>
      <c r="E87" s="5">
        <v>8</v>
      </c>
      <c r="F87" s="5">
        <v>8</v>
      </c>
      <c r="G87" s="5">
        <v>8</v>
      </c>
      <c r="H87" s="5">
        <v>8</v>
      </c>
      <c r="I87" s="5">
        <v>8</v>
      </c>
      <c r="J87" s="5">
        <v>8</v>
      </c>
      <c r="K87" s="5">
        <v>8</v>
      </c>
      <c r="L87" s="5">
        <v>8</v>
      </c>
    </row>
    <row r="88" spans="1:12" x14ac:dyDescent="0.25">
      <c r="B88" t="s">
        <v>9</v>
      </c>
      <c r="C88" s="5">
        <v>3</v>
      </c>
      <c r="D88" s="5">
        <v>6</v>
      </c>
      <c r="E88" s="5">
        <v>10</v>
      </c>
      <c r="F88" s="5">
        <v>10</v>
      </c>
      <c r="G88" s="5">
        <v>10</v>
      </c>
      <c r="H88" s="5">
        <v>10</v>
      </c>
      <c r="I88" s="5">
        <v>10</v>
      </c>
      <c r="J88" s="5">
        <v>10</v>
      </c>
      <c r="K88" s="5">
        <v>10</v>
      </c>
      <c r="L88" s="5">
        <v>10</v>
      </c>
    </row>
    <row r="89" spans="1:12" x14ac:dyDescent="0.25">
      <c r="B89" t="s">
        <v>10</v>
      </c>
      <c r="C89" s="5">
        <v>1</v>
      </c>
      <c r="D89" s="5">
        <v>3</v>
      </c>
      <c r="E89" s="5">
        <v>4</v>
      </c>
      <c r="F89" s="5">
        <v>4</v>
      </c>
      <c r="G89" s="5">
        <v>4</v>
      </c>
      <c r="H89" s="5">
        <v>4</v>
      </c>
      <c r="I89" s="5">
        <v>4</v>
      </c>
      <c r="J89" s="5">
        <v>4</v>
      </c>
      <c r="K89" s="5">
        <v>4</v>
      </c>
      <c r="L89" s="5">
        <v>4</v>
      </c>
    </row>
    <row r="90" spans="1:12" x14ac:dyDescent="0.25">
      <c r="B90" t="s">
        <v>11</v>
      </c>
      <c r="C90" s="5">
        <v>1</v>
      </c>
      <c r="D90" s="5">
        <v>3</v>
      </c>
      <c r="E90" s="5">
        <v>5</v>
      </c>
      <c r="F90" s="5">
        <v>5</v>
      </c>
      <c r="G90" s="5">
        <v>5</v>
      </c>
      <c r="H90" s="5">
        <v>5</v>
      </c>
      <c r="I90" s="5">
        <v>5</v>
      </c>
      <c r="J90" s="5">
        <v>5</v>
      </c>
      <c r="K90" s="5">
        <v>5</v>
      </c>
      <c r="L90" s="5">
        <v>5</v>
      </c>
    </row>
    <row r="91" spans="1:12" x14ac:dyDescent="0.25">
      <c r="B91" t="s">
        <v>12</v>
      </c>
      <c r="C91" s="5">
        <v>1</v>
      </c>
      <c r="D91" s="5">
        <v>2</v>
      </c>
      <c r="E91" s="5">
        <v>2</v>
      </c>
      <c r="F91" s="5">
        <v>2</v>
      </c>
      <c r="G91" s="5">
        <v>2</v>
      </c>
      <c r="H91" s="5">
        <v>2</v>
      </c>
      <c r="I91" s="5">
        <v>2</v>
      </c>
      <c r="J91" s="5">
        <v>2</v>
      </c>
      <c r="K91" s="5">
        <v>2</v>
      </c>
      <c r="L91" s="5">
        <v>2</v>
      </c>
    </row>
    <row r="92" spans="1:12" x14ac:dyDescent="0.25">
      <c r="B92" t="s">
        <v>30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 s="5">
        <v>1</v>
      </c>
    </row>
    <row r="93" spans="1:12" x14ac:dyDescent="0.25">
      <c r="B93" t="s">
        <v>31</v>
      </c>
      <c r="C93" s="5">
        <v>0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 s="5">
        <v>1</v>
      </c>
    </row>
    <row r="94" spans="1:12" x14ac:dyDescent="0.25">
      <c r="B94" t="s">
        <v>13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 s="5">
        <v>1</v>
      </c>
    </row>
    <row r="95" spans="1:12" x14ac:dyDescent="0.25">
      <c r="B95" t="s">
        <v>32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 s="5">
        <v>1</v>
      </c>
    </row>
    <row r="97" spans="1:12" x14ac:dyDescent="0.25">
      <c r="B97" s="3" t="s">
        <v>15</v>
      </c>
    </row>
    <row r="98" spans="1:12" x14ac:dyDescent="0.25">
      <c r="B98" t="s">
        <v>7</v>
      </c>
      <c r="C98" s="6">
        <v>-133000</v>
      </c>
      <c r="D98" s="6">
        <v>-133000</v>
      </c>
      <c r="E98" s="6">
        <v>-133000</v>
      </c>
      <c r="F98" s="6">
        <v>-133000</v>
      </c>
      <c r="G98" s="6">
        <v>-133000</v>
      </c>
      <c r="H98" s="6">
        <v>-133000</v>
      </c>
      <c r="I98" s="6">
        <v>-133000</v>
      </c>
      <c r="J98" s="6">
        <v>-133000</v>
      </c>
      <c r="K98" s="6">
        <v>-133000</v>
      </c>
      <c r="L98" s="6">
        <v>-133000</v>
      </c>
    </row>
    <row r="99" spans="1:12" x14ac:dyDescent="0.25">
      <c r="B99" t="s">
        <v>8</v>
      </c>
      <c r="C99" s="6">
        <v>-133000</v>
      </c>
      <c r="D99" s="6">
        <v>-133000</v>
      </c>
      <c r="E99" s="6">
        <v>-133000</v>
      </c>
      <c r="F99" s="6">
        <v>-133000</v>
      </c>
      <c r="G99" s="6">
        <v>-133000</v>
      </c>
      <c r="H99" s="6">
        <v>-133000</v>
      </c>
      <c r="I99" s="6">
        <v>-133000</v>
      </c>
      <c r="J99" s="6">
        <v>-133000</v>
      </c>
      <c r="K99" s="6">
        <v>-133000</v>
      </c>
      <c r="L99" s="6">
        <v>-133000</v>
      </c>
    </row>
    <row r="100" spans="1:12" x14ac:dyDescent="0.25">
      <c r="B100" t="s">
        <v>9</v>
      </c>
      <c r="C100" s="6">
        <v>-133000</v>
      </c>
      <c r="D100" s="6">
        <v>-133000</v>
      </c>
      <c r="E100" s="6">
        <v>-133000</v>
      </c>
      <c r="F100" s="6">
        <v>-133000</v>
      </c>
      <c r="G100" s="6">
        <v>-133000</v>
      </c>
      <c r="H100" s="6">
        <v>-133000</v>
      </c>
      <c r="I100" s="6">
        <v>-133000</v>
      </c>
      <c r="J100" s="6">
        <v>-133000</v>
      </c>
      <c r="K100" s="6">
        <v>-133000</v>
      </c>
      <c r="L100" s="6">
        <v>-133000</v>
      </c>
    </row>
    <row r="101" spans="1:12" x14ac:dyDescent="0.25">
      <c r="B101" t="s">
        <v>10</v>
      </c>
      <c r="C101" s="6">
        <v>-133000</v>
      </c>
      <c r="D101" s="6">
        <v>-133000</v>
      </c>
      <c r="E101" s="6">
        <v>-133000</v>
      </c>
      <c r="F101" s="6">
        <v>-133000</v>
      </c>
      <c r="G101" s="6">
        <v>-133000</v>
      </c>
      <c r="H101" s="6">
        <v>-133000</v>
      </c>
      <c r="I101" s="6">
        <v>-133000</v>
      </c>
      <c r="J101" s="6">
        <v>-133000</v>
      </c>
      <c r="K101" s="6">
        <v>-133000</v>
      </c>
      <c r="L101" s="6">
        <v>-133000</v>
      </c>
    </row>
    <row r="102" spans="1:12" x14ac:dyDescent="0.25">
      <c r="B102" t="s">
        <v>11</v>
      </c>
      <c r="C102" s="6">
        <v>-133000</v>
      </c>
      <c r="D102" s="6">
        <v>-133000</v>
      </c>
      <c r="E102" s="6">
        <v>-133000</v>
      </c>
      <c r="F102" s="6">
        <v>-133000</v>
      </c>
      <c r="G102" s="6">
        <v>-133000</v>
      </c>
      <c r="H102" s="6">
        <v>-133000</v>
      </c>
      <c r="I102" s="6">
        <v>-133000</v>
      </c>
      <c r="J102" s="6">
        <v>-133000</v>
      </c>
      <c r="K102" s="6">
        <v>-133000</v>
      </c>
      <c r="L102" s="6">
        <v>-133000</v>
      </c>
    </row>
    <row r="103" spans="1:12" x14ac:dyDescent="0.25">
      <c r="B103" t="s">
        <v>12</v>
      </c>
      <c r="C103" s="6">
        <v>-133000</v>
      </c>
      <c r="D103" s="6">
        <v>-133000</v>
      </c>
      <c r="E103" s="6">
        <v>-133000</v>
      </c>
      <c r="F103" s="6">
        <v>-133000</v>
      </c>
      <c r="G103" s="6">
        <v>-133000</v>
      </c>
      <c r="H103" s="6">
        <v>-133000</v>
      </c>
      <c r="I103" s="6">
        <v>-133000</v>
      </c>
      <c r="J103" s="6">
        <v>-133000</v>
      </c>
      <c r="K103" s="6">
        <v>-133000</v>
      </c>
      <c r="L103" s="6">
        <v>-133000</v>
      </c>
    </row>
    <row r="104" spans="1:12" x14ac:dyDescent="0.25">
      <c r="B104" t="s">
        <v>30</v>
      </c>
      <c r="C104" s="6">
        <v>-240000</v>
      </c>
      <c r="D104" s="6">
        <v>-240000</v>
      </c>
      <c r="E104" s="6">
        <v>-240000</v>
      </c>
      <c r="F104" s="6">
        <v>-240000</v>
      </c>
      <c r="G104" s="6">
        <v>-240000</v>
      </c>
      <c r="H104" s="6">
        <v>-240000</v>
      </c>
      <c r="I104" s="6">
        <v>-240000</v>
      </c>
      <c r="J104" s="6">
        <v>-240000</v>
      </c>
      <c r="K104" s="6">
        <v>-240000</v>
      </c>
      <c r="L104" s="6">
        <v>-240000</v>
      </c>
    </row>
    <row r="105" spans="1:12" x14ac:dyDescent="0.25">
      <c r="B105" t="s">
        <v>31</v>
      </c>
      <c r="C105" s="6">
        <v>-133000</v>
      </c>
      <c r="D105" s="6">
        <v>-133000</v>
      </c>
      <c r="E105" s="6">
        <v>-133000</v>
      </c>
      <c r="F105" s="6">
        <v>-133000</v>
      </c>
      <c r="G105" s="6">
        <v>-133000</v>
      </c>
      <c r="H105" s="6">
        <v>-133000</v>
      </c>
      <c r="I105" s="6">
        <v>-133000</v>
      </c>
      <c r="J105" s="6">
        <v>-133000</v>
      </c>
      <c r="K105" s="6">
        <v>-133000</v>
      </c>
      <c r="L105" s="6">
        <v>-133000</v>
      </c>
    </row>
    <row r="106" spans="1:12" x14ac:dyDescent="0.25">
      <c r="B106" t="s">
        <v>13</v>
      </c>
      <c r="C106" s="6">
        <v>-133000</v>
      </c>
      <c r="D106" s="6">
        <v>-133000</v>
      </c>
      <c r="E106" s="6">
        <v>-133000</v>
      </c>
      <c r="F106" s="6">
        <v>-133000</v>
      </c>
      <c r="G106" s="6">
        <v>-133000</v>
      </c>
      <c r="H106" s="6">
        <v>-133000</v>
      </c>
      <c r="I106" s="6">
        <v>-133000</v>
      </c>
      <c r="J106" s="6">
        <v>-133000</v>
      </c>
      <c r="K106" s="6">
        <v>-133000</v>
      </c>
      <c r="L106" s="6">
        <v>-133000</v>
      </c>
    </row>
    <row r="107" spans="1:12" x14ac:dyDescent="0.25">
      <c r="B107" s="9" t="s">
        <v>32</v>
      </c>
      <c r="C107" s="6">
        <v>-330000</v>
      </c>
      <c r="D107" s="6">
        <v>-330000</v>
      </c>
      <c r="E107" s="6">
        <v>-330000</v>
      </c>
      <c r="F107" s="6">
        <v>-330000</v>
      </c>
      <c r="G107" s="6">
        <v>-330000</v>
      </c>
      <c r="H107" s="6">
        <v>-330000</v>
      </c>
      <c r="I107" s="6">
        <v>-330000</v>
      </c>
      <c r="J107" s="6">
        <v>-330000</v>
      </c>
      <c r="K107" s="6">
        <v>-330000</v>
      </c>
      <c r="L107" s="6">
        <v>-330000</v>
      </c>
    </row>
    <row r="110" spans="1:12" x14ac:dyDescent="0.25">
      <c r="A110" s="28"/>
      <c r="B110" t="s">
        <v>17</v>
      </c>
      <c r="C110" s="1">
        <f>SUMPRODUCT(C86:C88,C98:C100)*C53*$C$10</f>
        <v>-1596000</v>
      </c>
      <c r="D110" s="1">
        <f t="shared" ref="D110:L110" si="28">SUMPRODUCT(D86:D88,D98:D100)*D53*$C$10</f>
        <v>-3509869.9999999995</v>
      </c>
      <c r="E110" s="1">
        <f t="shared" si="28"/>
        <v>-5206757.1499999985</v>
      </c>
      <c r="F110" s="1">
        <f t="shared" si="28"/>
        <v>-5284858.5072499979</v>
      </c>
      <c r="G110" s="1">
        <f t="shared" si="28"/>
        <v>-5364131.384858747</v>
      </c>
      <c r="H110" s="1">
        <f t="shared" si="28"/>
        <v>-5444593.3556316281</v>
      </c>
      <c r="I110" s="1">
        <f t="shared" si="28"/>
        <v>-5526262.2559661008</v>
      </c>
      <c r="J110" s="1">
        <f t="shared" si="28"/>
        <v>-5609156.1898055915</v>
      </c>
      <c r="K110" s="1">
        <f t="shared" si="28"/>
        <v>-5693293.5326526752</v>
      </c>
      <c r="L110" s="1">
        <f t="shared" si="28"/>
        <v>-5778692.9356424641</v>
      </c>
    </row>
    <row r="111" spans="1:12" x14ac:dyDescent="0.25">
      <c r="A111" s="28"/>
      <c r="B111" t="s">
        <v>18</v>
      </c>
      <c r="C111" s="1">
        <f>SUMPRODUCT(C89:C95,C101:C107)*C53*$C$10</f>
        <v>-1102000</v>
      </c>
      <c r="D111" s="1">
        <f t="shared" ref="D111:L111" si="29">SUMPRODUCT(D89:D95,D101:D107)*D53*$C$10</f>
        <v>-1928499.9999999998</v>
      </c>
      <c r="E111" s="1">
        <f t="shared" si="29"/>
        <v>-2368487.2749999994</v>
      </c>
      <c r="F111" s="1">
        <f t="shared" si="29"/>
        <v>-2404014.5841249991</v>
      </c>
      <c r="G111" s="1">
        <f t="shared" si="29"/>
        <v>-2440074.8028868735</v>
      </c>
      <c r="H111" s="1">
        <f t="shared" si="29"/>
        <v>-2476675.9249301767</v>
      </c>
      <c r="I111" s="1">
        <f t="shared" si="29"/>
        <v>-2513826.0638041287</v>
      </c>
      <c r="J111" s="1">
        <f t="shared" si="29"/>
        <v>-2551533.4547611903</v>
      </c>
      <c r="K111" s="1">
        <f t="shared" si="29"/>
        <v>-2589806.4565826077</v>
      </c>
      <c r="L111" s="1">
        <f t="shared" si="29"/>
        <v>-2628653.5534313465</v>
      </c>
    </row>
    <row r="112" spans="1:12" x14ac:dyDescent="0.25">
      <c r="B112" s="3" t="s">
        <v>19</v>
      </c>
      <c r="C112" s="4">
        <f>SUM(C110:C111)</f>
        <v>-2698000</v>
      </c>
      <c r="D112" s="4">
        <f t="shared" ref="D112:L112" si="30">SUM(D110:D111)</f>
        <v>-5438369.9999999991</v>
      </c>
      <c r="E112" s="4">
        <f t="shared" si="30"/>
        <v>-7575244.424999998</v>
      </c>
      <c r="F112" s="4">
        <f t="shared" si="30"/>
        <v>-7688873.091374997</v>
      </c>
      <c r="G112" s="4">
        <f t="shared" si="30"/>
        <v>-7804206.1877456205</v>
      </c>
      <c r="H112" s="4">
        <f t="shared" si="30"/>
        <v>-7921269.2805618048</v>
      </c>
      <c r="I112" s="4">
        <f t="shared" si="30"/>
        <v>-8040088.31977023</v>
      </c>
      <c r="J112" s="4">
        <f t="shared" si="30"/>
        <v>-8160689.6445667818</v>
      </c>
      <c r="K112" s="4">
        <f t="shared" si="30"/>
        <v>-8283099.9892352829</v>
      </c>
      <c r="L112" s="4">
        <f t="shared" si="30"/>
        <v>-8407346.4890738111</v>
      </c>
    </row>
    <row r="114" spans="2:12" x14ac:dyDescent="0.25">
      <c r="B114" s="3" t="s">
        <v>48</v>
      </c>
    </row>
    <row r="115" spans="2:12" x14ac:dyDescent="0.25">
      <c r="B115" t="s">
        <v>53</v>
      </c>
      <c r="C115" s="6">
        <v>1</v>
      </c>
      <c r="D115" s="6">
        <v>13</v>
      </c>
      <c r="E115" s="6">
        <v>25</v>
      </c>
      <c r="F115" s="6">
        <v>37</v>
      </c>
      <c r="G115" s="6">
        <v>49</v>
      </c>
      <c r="H115" s="6">
        <v>61</v>
      </c>
      <c r="I115" s="6">
        <v>73</v>
      </c>
      <c r="J115" s="6">
        <v>85</v>
      </c>
      <c r="K115" s="6">
        <v>97</v>
      </c>
      <c r="L115" s="6">
        <v>109</v>
      </c>
    </row>
    <row r="116" spans="2:12" x14ac:dyDescent="0.25">
      <c r="B116" t="s">
        <v>35</v>
      </c>
      <c r="C116" s="27">
        <f>(-SUM(C86:C89)*(2500+2500+500)*C52)*$C$10</f>
        <v>-71500</v>
      </c>
      <c r="D116" s="27">
        <f t="shared" ref="D116:L116" si="31">(-SUM(D86:D89)*(2500+2500+500)*D52)*$C$10</f>
        <v>-161892.49999999997</v>
      </c>
      <c r="E116" s="27">
        <f t="shared" si="31"/>
        <v>-237981.97499999995</v>
      </c>
      <c r="F116" s="27">
        <f t="shared" si="31"/>
        <v>-241551.7046249999</v>
      </c>
      <c r="G116" s="27">
        <f t="shared" si="31"/>
        <v>-245174.98019437486</v>
      </c>
      <c r="H116" s="27">
        <f t="shared" si="31"/>
        <v>-248852.60489729047</v>
      </c>
      <c r="I116" s="27">
        <f t="shared" si="31"/>
        <v>-252585.39397074978</v>
      </c>
      <c r="J116" s="27">
        <f t="shared" si="31"/>
        <v>-256374.17488031098</v>
      </c>
      <c r="K116" s="27">
        <f t="shared" si="31"/>
        <v>-260219.78750351563</v>
      </c>
      <c r="L116" s="27">
        <f t="shared" si="31"/>
        <v>-264123.08431606833</v>
      </c>
    </row>
    <row r="117" spans="2:12" x14ac:dyDescent="0.25">
      <c r="B117" t="s">
        <v>1</v>
      </c>
      <c r="C117" s="27">
        <f>(-SUM(C86:C95)*2500*C52)*$C$10</f>
        <v>-45000</v>
      </c>
      <c r="D117" s="27">
        <f t="shared" ref="D117:L117" si="32">(-SUM(D86:D95)*2500*D52)*$C$10</f>
        <v>-96424.999999999985</v>
      </c>
      <c r="E117" s="27">
        <f t="shared" si="32"/>
        <v>-136504.81249999997</v>
      </c>
      <c r="F117" s="27">
        <f t="shared" si="32"/>
        <v>-138552.38468749996</v>
      </c>
      <c r="G117" s="27">
        <f t="shared" si="32"/>
        <v>-140630.67045781243</v>
      </c>
      <c r="H117" s="27">
        <f t="shared" si="32"/>
        <v>-142740.13051467959</v>
      </c>
      <c r="I117" s="27">
        <f t="shared" si="32"/>
        <v>-144881.23247239974</v>
      </c>
      <c r="J117" s="27">
        <f t="shared" si="32"/>
        <v>-147054.45095948572</v>
      </c>
      <c r="K117" s="27">
        <f t="shared" si="32"/>
        <v>-149260.267723878</v>
      </c>
      <c r="L117" s="27">
        <f t="shared" si="32"/>
        <v>-151499.17173973616</v>
      </c>
    </row>
    <row r="119" spans="2:12" x14ac:dyDescent="0.25">
      <c r="B119" t="s">
        <v>53</v>
      </c>
      <c r="C119" s="6">
        <v>6</v>
      </c>
      <c r="D119" s="6">
        <v>18</v>
      </c>
      <c r="E119" s="6">
        <v>30</v>
      </c>
      <c r="F119" s="6">
        <v>42</v>
      </c>
      <c r="G119" s="6">
        <v>54</v>
      </c>
      <c r="H119" s="6">
        <v>66</v>
      </c>
      <c r="I119" s="6">
        <v>78</v>
      </c>
      <c r="J119" s="6">
        <v>90</v>
      </c>
      <c r="K119" s="6">
        <v>102</v>
      </c>
      <c r="L119" s="6">
        <v>114</v>
      </c>
    </row>
    <row r="120" spans="2:12" x14ac:dyDescent="0.25">
      <c r="B120" s="3" t="s">
        <v>36</v>
      </c>
      <c r="C120" s="27">
        <f>-300000*$C$10</f>
        <v>-300000</v>
      </c>
      <c r="D120" s="27">
        <f>-500000*$C$10</f>
        <v>-500000</v>
      </c>
      <c r="E120" s="27">
        <f>-600000*$C$10</f>
        <v>-600000</v>
      </c>
      <c r="F120" s="1">
        <f>$E120*(F53/$E53)</f>
        <v>-608999.99999999988</v>
      </c>
      <c r="G120" s="1">
        <f>$E120*(G53/$E53)</f>
        <v>-618134.99999999988</v>
      </c>
      <c r="H120" s="1">
        <f>$E120*(H53/$E53)</f>
        <v>-627407.02499999979</v>
      </c>
      <c r="I120" s="1">
        <f>$E120*(I53/$E53)</f>
        <v>-636818.1303749996</v>
      </c>
      <c r="J120" s="1">
        <f>$E120*(J53/$E53)</f>
        <v>-646370.40233062452</v>
      </c>
      <c r="K120" s="1">
        <f>$E120*(K53/$E53)</f>
        <v>-656065.95836558379</v>
      </c>
      <c r="L120" s="1">
        <f>$E120*(L53/$E53)</f>
        <v>-665906.9477410675</v>
      </c>
    </row>
    <row r="122" spans="2:12" x14ac:dyDescent="0.25">
      <c r="B122" s="3" t="s">
        <v>49</v>
      </c>
    </row>
    <row r="123" spans="2:12" x14ac:dyDescent="0.25">
      <c r="B123" t="s">
        <v>53</v>
      </c>
      <c r="C123" s="6">
        <v>1</v>
      </c>
      <c r="D123" s="6">
        <v>13</v>
      </c>
      <c r="E123" s="6">
        <v>25</v>
      </c>
      <c r="F123" s="6">
        <v>37</v>
      </c>
      <c r="G123" s="6">
        <v>49</v>
      </c>
      <c r="H123" s="1"/>
      <c r="I123" s="1"/>
      <c r="J123" s="1"/>
      <c r="K123" s="1"/>
      <c r="L123" s="1"/>
    </row>
    <row r="124" spans="2:12" x14ac:dyDescent="0.25">
      <c r="B124" t="s">
        <v>37</v>
      </c>
      <c r="C124" s="27">
        <f>-50000*$C$10</f>
        <v>-50000</v>
      </c>
      <c r="D124" s="27">
        <f>-75000*$C$10</f>
        <v>-75000</v>
      </c>
      <c r="E124" s="27">
        <f>-100000*$C$10</f>
        <v>-100000</v>
      </c>
      <c r="F124" s="1">
        <f>$E124*(F53/$E53)</f>
        <v>-101499.99999999999</v>
      </c>
      <c r="G124" s="1">
        <f>$E124*(G53/$E53)</f>
        <v>-103022.49999999997</v>
      </c>
      <c r="H124" s="1"/>
      <c r="I124" s="1"/>
      <c r="J124" s="1"/>
      <c r="K124" s="1"/>
      <c r="L124" s="1"/>
    </row>
    <row r="125" spans="2:12" x14ac:dyDescent="0.25">
      <c r="B125" t="s">
        <v>53</v>
      </c>
      <c r="C125" s="6">
        <v>1</v>
      </c>
      <c r="D125" s="6">
        <v>13</v>
      </c>
      <c r="E125" s="6">
        <v>25</v>
      </c>
      <c r="F125" s="6">
        <v>37</v>
      </c>
      <c r="G125" s="6">
        <v>49</v>
      </c>
      <c r="H125" s="6">
        <v>61</v>
      </c>
      <c r="I125" s="6">
        <v>73</v>
      </c>
      <c r="J125" s="6">
        <v>85</v>
      </c>
      <c r="K125" s="6">
        <v>97</v>
      </c>
      <c r="L125" s="6">
        <v>109</v>
      </c>
    </row>
    <row r="126" spans="2:12" x14ac:dyDescent="0.25">
      <c r="B126" t="s">
        <v>38</v>
      </c>
      <c r="C126" s="27">
        <f>-50000*$C$10</f>
        <v>-50000</v>
      </c>
      <c r="D126" s="27">
        <f>-100000</f>
        <v>-100000</v>
      </c>
      <c r="E126" s="27">
        <f>-500000*$C$10</f>
        <v>-500000</v>
      </c>
      <c r="F126" s="1">
        <f>$E126*(F53/$E53)</f>
        <v>-507499.99999999994</v>
      </c>
      <c r="G126" s="1">
        <f>$E126*(G53/$E53)</f>
        <v>-515112.49999999988</v>
      </c>
      <c r="H126" s="1">
        <f>$E126*(H53/$E53)</f>
        <v>-522839.18749999983</v>
      </c>
      <c r="I126" s="1">
        <f>$E126*(I53/$E53)</f>
        <v>-530681.77531249973</v>
      </c>
      <c r="J126" s="1">
        <f>$E126*(J53/$E53)</f>
        <v>-538642.0019421872</v>
      </c>
      <c r="K126" s="1">
        <f>$E126*(K53/$E53)</f>
        <v>-546721.63197131979</v>
      </c>
      <c r="L126" s="1">
        <f>$E126*(L53/$E53)</f>
        <v>-554922.45645088959</v>
      </c>
    </row>
    <row r="128" spans="2:12" x14ac:dyDescent="0.25">
      <c r="B128" s="3" t="s">
        <v>39</v>
      </c>
    </row>
    <row r="129" spans="2:5" x14ac:dyDescent="0.25">
      <c r="B129" t="s">
        <v>53</v>
      </c>
      <c r="C129" s="6">
        <v>1</v>
      </c>
      <c r="D129" s="6">
        <v>13</v>
      </c>
      <c r="E129" s="6">
        <v>25</v>
      </c>
    </row>
    <row r="130" spans="2:5" x14ac:dyDescent="0.25">
      <c r="B130" t="s">
        <v>40</v>
      </c>
      <c r="C130" s="27">
        <f>-100000*$C$10</f>
        <v>-100000</v>
      </c>
      <c r="D130" s="27">
        <f>-200000*$C$10</f>
        <v>-200000</v>
      </c>
      <c r="E130" s="27">
        <f>-200000</f>
        <v>-200000</v>
      </c>
    </row>
    <row r="131" spans="2:5" x14ac:dyDescent="0.25">
      <c r="B131" t="s">
        <v>53</v>
      </c>
      <c r="C131" s="6">
        <v>1</v>
      </c>
      <c r="D131" s="6">
        <v>13</v>
      </c>
      <c r="E131" s="6"/>
    </row>
    <row r="132" spans="2:5" x14ac:dyDescent="0.25">
      <c r="B132" t="s">
        <v>5</v>
      </c>
      <c r="C132" s="27">
        <f>-50000*$C$10</f>
        <v>-50000</v>
      </c>
      <c r="D132" s="27">
        <f>-50000*$C$10</f>
        <v>-50000</v>
      </c>
      <c r="E132" s="27"/>
    </row>
    <row r="134" spans="2:5" x14ac:dyDescent="0.25">
      <c r="B134" s="3" t="s">
        <v>41</v>
      </c>
    </row>
    <row r="135" spans="2:5" x14ac:dyDescent="0.25">
      <c r="B135" t="s">
        <v>53</v>
      </c>
      <c r="C135" s="6">
        <v>1</v>
      </c>
      <c r="D135" s="6">
        <v>13</v>
      </c>
    </row>
    <row r="136" spans="2:5" x14ac:dyDescent="0.25">
      <c r="B136" t="s">
        <v>42</v>
      </c>
      <c r="C136" s="27">
        <f>-150000*$C$10</f>
        <v>-150000</v>
      </c>
      <c r="D136" s="27">
        <f>-100000*$C$10</f>
        <v>-100000</v>
      </c>
    </row>
    <row r="137" spans="2:5" x14ac:dyDescent="0.25">
      <c r="B137" t="s">
        <v>53</v>
      </c>
      <c r="C137" s="6">
        <v>1</v>
      </c>
      <c r="D137" s="6">
        <v>13</v>
      </c>
    </row>
    <row r="138" spans="2:5" x14ac:dyDescent="0.25">
      <c r="B138" t="s">
        <v>43</v>
      </c>
      <c r="C138" s="27">
        <f>-100000*$C$10</f>
        <v>-100000</v>
      </c>
      <c r="D138" s="27">
        <f>-100000*$C$10</f>
        <v>-100000</v>
      </c>
    </row>
    <row r="139" spans="2:5" x14ac:dyDescent="0.25">
      <c r="B139" t="s">
        <v>53</v>
      </c>
      <c r="C139" s="6">
        <v>1</v>
      </c>
      <c r="D139" s="6">
        <v>13</v>
      </c>
    </row>
    <row r="140" spans="2:5" x14ac:dyDescent="0.25">
      <c r="B140" t="s">
        <v>40</v>
      </c>
      <c r="C140" s="27">
        <f>-100000*$C$10</f>
        <v>-100000</v>
      </c>
      <c r="D140" s="27">
        <f>-100000*$C$10</f>
        <v>-100000</v>
      </c>
    </row>
    <row r="141" spans="2:5" x14ac:dyDescent="0.25">
      <c r="B141" t="s">
        <v>53</v>
      </c>
      <c r="C141" s="6">
        <v>1</v>
      </c>
      <c r="D141" s="6">
        <v>13</v>
      </c>
    </row>
    <row r="142" spans="2:5" x14ac:dyDescent="0.25">
      <c r="B142" t="s">
        <v>44</v>
      </c>
      <c r="C142" s="27">
        <f>-100000*$C$10</f>
        <v>-100000</v>
      </c>
      <c r="D142" s="27">
        <f>-200000*$C$10</f>
        <v>-200000</v>
      </c>
    </row>
    <row r="143" spans="2:5" x14ac:dyDescent="0.25">
      <c r="B143" t="s">
        <v>53</v>
      </c>
      <c r="C143" s="6">
        <v>1</v>
      </c>
      <c r="D143" s="6">
        <v>13</v>
      </c>
    </row>
    <row r="144" spans="2:5" x14ac:dyDescent="0.25">
      <c r="B144" t="s">
        <v>45</v>
      </c>
      <c r="C144" s="27">
        <f>-100000*$C$10</f>
        <v>-100000</v>
      </c>
      <c r="D144" s="27">
        <f>0*$C$10</f>
        <v>0</v>
      </c>
    </row>
    <row r="145" spans="2:7" x14ac:dyDescent="0.25">
      <c r="B145" t="s">
        <v>53</v>
      </c>
      <c r="C145" s="6">
        <v>1</v>
      </c>
      <c r="D145" s="6">
        <v>13</v>
      </c>
    </row>
    <row r="146" spans="2:7" x14ac:dyDescent="0.25">
      <c r="B146" t="s">
        <v>46</v>
      </c>
      <c r="C146" s="27">
        <f>-100000*$C$10</f>
        <v>-100000</v>
      </c>
      <c r="D146" s="27">
        <f>-100000*$C$10</f>
        <v>-100000</v>
      </c>
    </row>
    <row r="147" spans="2:7" x14ac:dyDescent="0.25">
      <c r="B147" t="s">
        <v>53</v>
      </c>
      <c r="C147" s="6">
        <v>1</v>
      </c>
      <c r="D147" s="6">
        <v>13</v>
      </c>
    </row>
    <row r="148" spans="2:7" x14ac:dyDescent="0.25">
      <c r="B148" t="s">
        <v>47</v>
      </c>
      <c r="C148" s="27">
        <f>-100000*$C$10</f>
        <v>-100000</v>
      </c>
      <c r="D148" s="27">
        <f>-300000*$C$10</f>
        <v>-300000</v>
      </c>
    </row>
    <row r="151" spans="2:7" x14ac:dyDescent="0.25">
      <c r="B151" s="3" t="s">
        <v>2</v>
      </c>
    </row>
    <row r="152" spans="2:7" x14ac:dyDescent="0.25">
      <c r="B152" t="s">
        <v>53</v>
      </c>
      <c r="C152">
        <v>1</v>
      </c>
    </row>
    <row r="153" spans="2:7" x14ac:dyDescent="0.25">
      <c r="B153" s="3" t="s">
        <v>65</v>
      </c>
      <c r="C153" s="27">
        <f>-15000000*$C$10</f>
        <v>-15000000</v>
      </c>
    </row>
    <row r="154" spans="2:7" x14ac:dyDescent="0.25">
      <c r="B154" t="s">
        <v>53</v>
      </c>
      <c r="D154">
        <v>18</v>
      </c>
      <c r="G154">
        <v>54</v>
      </c>
    </row>
    <row r="155" spans="2:7" x14ac:dyDescent="0.25">
      <c r="B155" t="s">
        <v>50</v>
      </c>
      <c r="D155" s="27">
        <f>-1500000*$C$10</f>
        <v>-1500000</v>
      </c>
    </row>
    <row r="156" spans="2:7" x14ac:dyDescent="0.25">
      <c r="B156" t="s">
        <v>51</v>
      </c>
      <c r="G156" s="27">
        <f>-14000000*$C$10</f>
        <v>-14000000</v>
      </c>
    </row>
    <row r="158" spans="2:7" ht="45" x14ac:dyDescent="0.25">
      <c r="B158" s="3" t="s">
        <v>110</v>
      </c>
      <c r="C158" s="18" t="s">
        <v>112</v>
      </c>
      <c r="D158" s="18" t="s">
        <v>111</v>
      </c>
    </row>
    <row r="159" spans="2:7" x14ac:dyDescent="0.25">
      <c r="B159" s="14" t="s">
        <v>84</v>
      </c>
      <c r="C159" s="5">
        <v>30</v>
      </c>
      <c r="D159" s="5">
        <v>6</v>
      </c>
    </row>
    <row r="160" spans="2:7" x14ac:dyDescent="0.25">
      <c r="B160" s="14" t="s">
        <v>85</v>
      </c>
      <c r="C160" s="5">
        <v>33</v>
      </c>
      <c r="D160" s="5">
        <v>6</v>
      </c>
    </row>
    <row r="161" spans="2:13" x14ac:dyDescent="0.25">
      <c r="B161" s="14" t="s">
        <v>86</v>
      </c>
      <c r="C161" s="5">
        <v>36</v>
      </c>
      <c r="D161" s="5">
        <v>6</v>
      </c>
    </row>
    <row r="162" spans="2:13" x14ac:dyDescent="0.25">
      <c r="B162" s="14" t="s">
        <v>87</v>
      </c>
      <c r="C162" s="5">
        <v>39</v>
      </c>
      <c r="D162" s="5">
        <v>6</v>
      </c>
    </row>
    <row r="163" spans="2:13" x14ac:dyDescent="0.25">
      <c r="B163" s="14" t="s">
        <v>98</v>
      </c>
      <c r="C163" s="3">
        <f>IF($B$10="A",C159, IF($B$10="B",C160,IF($B$10="C",C161,C162)))</f>
        <v>33</v>
      </c>
      <c r="D163" s="3">
        <f>IF($B$10="A",D159, IF($B$10="B",D160,IF($B$10="C",D161,D162)))</f>
        <v>6</v>
      </c>
    </row>
    <row r="164" spans="2:13" x14ac:dyDescent="0.25">
      <c r="B164" s="14"/>
    </row>
    <row r="165" spans="2:13" x14ac:dyDescent="0.25">
      <c r="B165" s="14" t="s">
        <v>113</v>
      </c>
      <c r="C165" s="17">
        <f>-($C104*$C92+$C95*$C107)/12</f>
        <v>47500</v>
      </c>
      <c r="D165" s="21"/>
    </row>
    <row r="166" spans="2:13" x14ac:dyDescent="0.25">
      <c r="B166" t="s">
        <v>114</v>
      </c>
      <c r="C166" s="5">
        <f>1/3</f>
        <v>0.33333333333333331</v>
      </c>
      <c r="D166" s="17"/>
      <c r="E166" s="17"/>
      <c r="F166" s="17"/>
      <c r="G166" s="17"/>
      <c r="H166" s="17"/>
      <c r="I166" s="2"/>
      <c r="J166" s="2"/>
      <c r="K166" s="2"/>
      <c r="L166" s="2"/>
      <c r="M166" s="2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CFs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Heinz Kubli</dc:creator>
  <cp:lastModifiedBy>Heinz Kubli</cp:lastModifiedBy>
  <dcterms:created xsi:type="dcterms:W3CDTF">2025-09-12T19:43:01Z</dcterms:created>
  <dcterms:modified xsi:type="dcterms:W3CDTF">2025-09-18T14:39:26Z</dcterms:modified>
</cp:coreProperties>
</file>